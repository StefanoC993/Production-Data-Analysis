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1 - Git Hub repositories\Production Data Analysis\"/>
    </mc:Choice>
  </mc:AlternateContent>
  <xr:revisionPtr revIDLastSave="0" documentId="13_ncr:1_{90C696C4-7FA4-4B1E-BC5C-AE81755437D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oduction_Machine_1_Data_Entry" sheetId="1" r:id="rId1"/>
    <sheet name="Data_Source" sheetId="2" r:id="rId2"/>
  </sheets>
  <definedNames>
    <definedName name="Lista_Difetti">Data_Source!$G$2:$G$11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50" i="1" l="1"/>
  <c r="B250" i="1"/>
  <c r="C250" i="1"/>
  <c r="E250" i="1"/>
  <c r="F250" i="1"/>
  <c r="I250" i="1"/>
  <c r="H250" i="1" s="1"/>
  <c r="A249" i="1"/>
  <c r="B249" i="1"/>
  <c r="C249" i="1"/>
  <c r="E249" i="1"/>
  <c r="F249" i="1"/>
  <c r="H249" i="1"/>
  <c r="I249" i="1"/>
  <c r="I3" i="1"/>
  <c r="H3" i="1" s="1"/>
  <c r="I4" i="1"/>
  <c r="H4" i="1" s="1"/>
  <c r="I5" i="1"/>
  <c r="H5" i="1" s="1"/>
  <c r="I6" i="1"/>
  <c r="H6" i="1" s="1"/>
  <c r="I7" i="1"/>
  <c r="H7" i="1" s="1"/>
  <c r="I8" i="1"/>
  <c r="H8" i="1" s="1"/>
  <c r="I9" i="1"/>
  <c r="H9" i="1" s="1"/>
  <c r="I10" i="1"/>
  <c r="H10" i="1" s="1"/>
  <c r="I11" i="1"/>
  <c r="H11" i="1" s="1"/>
  <c r="I12" i="1"/>
  <c r="H12" i="1" s="1"/>
  <c r="I13" i="1"/>
  <c r="H13" i="1" s="1"/>
  <c r="I14" i="1"/>
  <c r="H14" i="1" s="1"/>
  <c r="I15" i="1"/>
  <c r="H15" i="1" s="1"/>
  <c r="I16" i="1"/>
  <c r="H16" i="1" s="1"/>
  <c r="I17" i="1"/>
  <c r="H17" i="1" s="1"/>
  <c r="I18" i="1"/>
  <c r="H18" i="1" s="1"/>
  <c r="I19" i="1"/>
  <c r="H19" i="1" s="1"/>
  <c r="I20" i="1"/>
  <c r="H20" i="1" s="1"/>
  <c r="I21" i="1"/>
  <c r="H21" i="1" s="1"/>
  <c r="I22" i="1"/>
  <c r="H22" i="1" s="1"/>
  <c r="I23" i="1"/>
  <c r="H23" i="1" s="1"/>
  <c r="I24" i="1"/>
  <c r="H24" i="1" s="1"/>
  <c r="I25" i="1"/>
  <c r="H25" i="1" s="1"/>
  <c r="I26" i="1"/>
  <c r="H26" i="1" s="1"/>
  <c r="I27" i="1"/>
  <c r="H27" i="1" s="1"/>
  <c r="I28" i="1"/>
  <c r="H28" i="1" s="1"/>
  <c r="I29" i="1"/>
  <c r="H29" i="1" s="1"/>
  <c r="I30" i="1"/>
  <c r="H30" i="1" s="1"/>
  <c r="I31" i="1"/>
  <c r="H31" i="1" s="1"/>
  <c r="I32" i="1"/>
  <c r="H32" i="1" s="1"/>
  <c r="I33" i="1"/>
  <c r="H33" i="1" s="1"/>
  <c r="I34" i="1"/>
  <c r="H34" i="1" s="1"/>
  <c r="I35" i="1"/>
  <c r="H35" i="1" s="1"/>
  <c r="I36" i="1"/>
  <c r="H36" i="1" s="1"/>
  <c r="I37" i="1"/>
  <c r="H37" i="1" s="1"/>
  <c r="I38" i="1"/>
  <c r="H38" i="1" s="1"/>
  <c r="I39" i="1"/>
  <c r="H39" i="1" s="1"/>
  <c r="I40" i="1"/>
  <c r="H40" i="1" s="1"/>
  <c r="I41" i="1"/>
  <c r="H41" i="1" s="1"/>
  <c r="I42" i="1"/>
  <c r="H42" i="1" s="1"/>
  <c r="I43" i="1"/>
  <c r="H43" i="1" s="1"/>
  <c r="I44" i="1"/>
  <c r="H44" i="1" s="1"/>
  <c r="I45" i="1"/>
  <c r="H45" i="1" s="1"/>
  <c r="I46" i="1"/>
  <c r="H46" i="1" s="1"/>
  <c r="I47" i="1"/>
  <c r="H47" i="1" s="1"/>
  <c r="I48" i="1"/>
  <c r="H48" i="1" s="1"/>
  <c r="I49" i="1"/>
  <c r="H49" i="1" s="1"/>
  <c r="I50" i="1"/>
  <c r="H50" i="1" s="1"/>
  <c r="I51" i="1"/>
  <c r="H51" i="1" s="1"/>
  <c r="I52" i="1"/>
  <c r="H52" i="1" s="1"/>
  <c r="I53" i="1"/>
  <c r="H53" i="1" s="1"/>
  <c r="I54" i="1"/>
  <c r="H54" i="1" s="1"/>
  <c r="I55" i="1"/>
  <c r="H55" i="1" s="1"/>
  <c r="I56" i="1"/>
  <c r="H56" i="1" s="1"/>
  <c r="I57" i="1"/>
  <c r="H57" i="1" s="1"/>
  <c r="I58" i="1"/>
  <c r="H58" i="1" s="1"/>
  <c r="I59" i="1"/>
  <c r="H59" i="1" s="1"/>
  <c r="I60" i="1"/>
  <c r="H60" i="1" s="1"/>
  <c r="I61" i="1"/>
  <c r="H61" i="1" s="1"/>
  <c r="I62" i="1"/>
  <c r="H62" i="1" s="1"/>
  <c r="I63" i="1"/>
  <c r="H63" i="1" s="1"/>
  <c r="I64" i="1"/>
  <c r="H64" i="1" s="1"/>
  <c r="I65" i="1"/>
  <c r="H65" i="1" s="1"/>
  <c r="I66" i="1"/>
  <c r="H66" i="1" s="1"/>
  <c r="I67" i="1"/>
  <c r="H67" i="1" s="1"/>
  <c r="I68" i="1"/>
  <c r="H68" i="1" s="1"/>
  <c r="I69" i="1"/>
  <c r="H69" i="1" s="1"/>
  <c r="I70" i="1"/>
  <c r="H70" i="1" s="1"/>
  <c r="I71" i="1"/>
  <c r="H71" i="1" s="1"/>
  <c r="I72" i="1"/>
  <c r="H72" i="1" s="1"/>
  <c r="I73" i="1"/>
  <c r="H73" i="1" s="1"/>
  <c r="I74" i="1"/>
  <c r="H74" i="1" s="1"/>
  <c r="I75" i="1"/>
  <c r="H75" i="1" s="1"/>
  <c r="I76" i="1"/>
  <c r="H76" i="1" s="1"/>
  <c r="I77" i="1"/>
  <c r="H77" i="1" s="1"/>
  <c r="I78" i="1"/>
  <c r="H78" i="1" s="1"/>
  <c r="I79" i="1"/>
  <c r="H79" i="1" s="1"/>
  <c r="I80" i="1"/>
  <c r="H80" i="1" s="1"/>
  <c r="I81" i="1"/>
  <c r="H81" i="1" s="1"/>
  <c r="I82" i="1"/>
  <c r="H82" i="1" s="1"/>
  <c r="I83" i="1"/>
  <c r="H83" i="1" s="1"/>
  <c r="I84" i="1"/>
  <c r="H84" i="1" s="1"/>
  <c r="I85" i="1"/>
  <c r="H85" i="1" s="1"/>
  <c r="I86" i="1"/>
  <c r="H86" i="1" s="1"/>
  <c r="I87" i="1"/>
  <c r="H87" i="1" s="1"/>
  <c r="I88" i="1"/>
  <c r="H88" i="1" s="1"/>
  <c r="I89" i="1"/>
  <c r="H89" i="1" s="1"/>
  <c r="I90" i="1"/>
  <c r="H90" i="1" s="1"/>
  <c r="I91" i="1"/>
  <c r="H91" i="1" s="1"/>
  <c r="I92" i="1"/>
  <c r="H92" i="1" s="1"/>
  <c r="I93" i="1"/>
  <c r="H93" i="1" s="1"/>
  <c r="I94" i="1"/>
  <c r="H94" i="1" s="1"/>
  <c r="I95" i="1"/>
  <c r="H95" i="1" s="1"/>
  <c r="I96" i="1"/>
  <c r="H96" i="1" s="1"/>
  <c r="I97" i="1"/>
  <c r="H97" i="1" s="1"/>
  <c r="I98" i="1"/>
  <c r="H98" i="1" s="1"/>
  <c r="I99" i="1"/>
  <c r="H99" i="1" s="1"/>
  <c r="I100" i="1"/>
  <c r="H100" i="1" s="1"/>
  <c r="I101" i="1"/>
  <c r="H101" i="1" s="1"/>
  <c r="I102" i="1"/>
  <c r="H102" i="1" s="1"/>
  <c r="I103" i="1"/>
  <c r="H103" i="1" s="1"/>
  <c r="I104" i="1"/>
  <c r="H104" i="1" s="1"/>
  <c r="I105" i="1"/>
  <c r="H105" i="1" s="1"/>
  <c r="I106" i="1"/>
  <c r="H106" i="1" s="1"/>
  <c r="I107" i="1"/>
  <c r="H107" i="1" s="1"/>
  <c r="I108" i="1"/>
  <c r="H108" i="1" s="1"/>
  <c r="I109" i="1"/>
  <c r="H109" i="1" s="1"/>
  <c r="I110" i="1"/>
  <c r="H110" i="1" s="1"/>
  <c r="I111" i="1"/>
  <c r="H111" i="1" s="1"/>
  <c r="I112" i="1"/>
  <c r="H112" i="1" s="1"/>
  <c r="I113" i="1"/>
  <c r="H113" i="1" s="1"/>
  <c r="I114" i="1"/>
  <c r="H114" i="1" s="1"/>
  <c r="I115" i="1"/>
  <c r="H115" i="1" s="1"/>
  <c r="I116" i="1"/>
  <c r="H116" i="1" s="1"/>
  <c r="I117" i="1"/>
  <c r="H117" i="1" s="1"/>
  <c r="I118" i="1"/>
  <c r="H118" i="1" s="1"/>
  <c r="I119" i="1"/>
  <c r="H119" i="1" s="1"/>
  <c r="I120" i="1"/>
  <c r="H120" i="1" s="1"/>
  <c r="I121" i="1"/>
  <c r="H121" i="1" s="1"/>
  <c r="I122" i="1"/>
  <c r="H122" i="1" s="1"/>
  <c r="I123" i="1"/>
  <c r="H123" i="1" s="1"/>
  <c r="I124" i="1"/>
  <c r="H124" i="1" s="1"/>
  <c r="I125" i="1"/>
  <c r="H125" i="1" s="1"/>
  <c r="I126" i="1"/>
  <c r="H126" i="1" s="1"/>
  <c r="I127" i="1"/>
  <c r="H127" i="1" s="1"/>
  <c r="I128" i="1"/>
  <c r="H128" i="1" s="1"/>
  <c r="I129" i="1"/>
  <c r="H129" i="1" s="1"/>
  <c r="I130" i="1"/>
  <c r="H130" i="1" s="1"/>
  <c r="I131" i="1"/>
  <c r="H131" i="1" s="1"/>
  <c r="I132" i="1"/>
  <c r="H132" i="1" s="1"/>
  <c r="I133" i="1"/>
  <c r="H133" i="1" s="1"/>
  <c r="I134" i="1"/>
  <c r="H134" i="1" s="1"/>
  <c r="I135" i="1"/>
  <c r="H135" i="1" s="1"/>
  <c r="I136" i="1"/>
  <c r="H136" i="1" s="1"/>
  <c r="I137" i="1"/>
  <c r="H137" i="1" s="1"/>
  <c r="I138" i="1"/>
  <c r="H138" i="1" s="1"/>
  <c r="I139" i="1"/>
  <c r="H139" i="1" s="1"/>
  <c r="I140" i="1"/>
  <c r="H140" i="1" s="1"/>
  <c r="I141" i="1"/>
  <c r="H141" i="1" s="1"/>
  <c r="I142" i="1"/>
  <c r="H142" i="1" s="1"/>
  <c r="I143" i="1"/>
  <c r="H143" i="1" s="1"/>
  <c r="I144" i="1"/>
  <c r="H144" i="1" s="1"/>
  <c r="I145" i="1"/>
  <c r="H145" i="1" s="1"/>
  <c r="I146" i="1"/>
  <c r="H146" i="1" s="1"/>
  <c r="I147" i="1"/>
  <c r="H147" i="1" s="1"/>
  <c r="I148" i="1"/>
  <c r="H148" i="1" s="1"/>
  <c r="I149" i="1"/>
  <c r="H149" i="1" s="1"/>
  <c r="I150" i="1"/>
  <c r="H150" i="1" s="1"/>
  <c r="I151" i="1"/>
  <c r="H151" i="1" s="1"/>
  <c r="I152" i="1"/>
  <c r="H152" i="1" s="1"/>
  <c r="I153" i="1"/>
  <c r="H153" i="1" s="1"/>
  <c r="I154" i="1"/>
  <c r="H154" i="1" s="1"/>
  <c r="I155" i="1"/>
  <c r="H155" i="1" s="1"/>
  <c r="I156" i="1"/>
  <c r="H156" i="1" s="1"/>
  <c r="I157" i="1"/>
  <c r="H157" i="1" s="1"/>
  <c r="I158" i="1"/>
  <c r="H158" i="1" s="1"/>
  <c r="I159" i="1"/>
  <c r="H159" i="1" s="1"/>
  <c r="I160" i="1"/>
  <c r="H160" i="1" s="1"/>
  <c r="I161" i="1"/>
  <c r="H161" i="1" s="1"/>
  <c r="I162" i="1"/>
  <c r="H162" i="1" s="1"/>
  <c r="I163" i="1"/>
  <c r="H163" i="1" s="1"/>
  <c r="I164" i="1"/>
  <c r="H164" i="1" s="1"/>
  <c r="I165" i="1"/>
  <c r="H165" i="1" s="1"/>
  <c r="I166" i="1"/>
  <c r="H166" i="1" s="1"/>
  <c r="I167" i="1"/>
  <c r="H167" i="1" s="1"/>
  <c r="I168" i="1"/>
  <c r="H168" i="1" s="1"/>
  <c r="I169" i="1"/>
  <c r="H169" i="1" s="1"/>
  <c r="I170" i="1"/>
  <c r="H170" i="1" s="1"/>
  <c r="I171" i="1"/>
  <c r="H171" i="1" s="1"/>
  <c r="I172" i="1"/>
  <c r="H172" i="1" s="1"/>
  <c r="I173" i="1"/>
  <c r="H173" i="1" s="1"/>
  <c r="I174" i="1"/>
  <c r="H174" i="1" s="1"/>
  <c r="I175" i="1"/>
  <c r="H175" i="1" s="1"/>
  <c r="I176" i="1"/>
  <c r="H176" i="1" s="1"/>
  <c r="I177" i="1"/>
  <c r="H177" i="1" s="1"/>
  <c r="I178" i="1"/>
  <c r="H178" i="1" s="1"/>
  <c r="I179" i="1"/>
  <c r="H179" i="1" s="1"/>
  <c r="I180" i="1"/>
  <c r="H180" i="1" s="1"/>
  <c r="I181" i="1"/>
  <c r="H181" i="1" s="1"/>
  <c r="I182" i="1"/>
  <c r="H182" i="1" s="1"/>
  <c r="I183" i="1"/>
  <c r="H183" i="1" s="1"/>
  <c r="I184" i="1"/>
  <c r="H184" i="1" s="1"/>
  <c r="I185" i="1"/>
  <c r="H185" i="1" s="1"/>
  <c r="I186" i="1"/>
  <c r="H186" i="1" s="1"/>
  <c r="I187" i="1"/>
  <c r="H187" i="1" s="1"/>
  <c r="I188" i="1"/>
  <c r="H188" i="1" s="1"/>
  <c r="I189" i="1"/>
  <c r="H189" i="1" s="1"/>
  <c r="I190" i="1"/>
  <c r="H190" i="1" s="1"/>
  <c r="I191" i="1"/>
  <c r="H191" i="1" s="1"/>
  <c r="I192" i="1"/>
  <c r="H192" i="1" s="1"/>
  <c r="I193" i="1"/>
  <c r="H193" i="1" s="1"/>
  <c r="I194" i="1"/>
  <c r="H194" i="1" s="1"/>
  <c r="I195" i="1"/>
  <c r="H195" i="1" s="1"/>
  <c r="I196" i="1"/>
  <c r="H196" i="1" s="1"/>
  <c r="I197" i="1"/>
  <c r="H197" i="1" s="1"/>
  <c r="I198" i="1"/>
  <c r="H198" i="1" s="1"/>
  <c r="I199" i="1"/>
  <c r="H199" i="1" s="1"/>
  <c r="I200" i="1"/>
  <c r="H200" i="1" s="1"/>
  <c r="I201" i="1"/>
  <c r="H201" i="1" s="1"/>
  <c r="I202" i="1"/>
  <c r="H202" i="1" s="1"/>
  <c r="I203" i="1"/>
  <c r="H203" i="1" s="1"/>
  <c r="I204" i="1"/>
  <c r="H204" i="1" s="1"/>
  <c r="I205" i="1"/>
  <c r="H205" i="1" s="1"/>
  <c r="I206" i="1"/>
  <c r="H206" i="1" s="1"/>
  <c r="I207" i="1"/>
  <c r="H207" i="1" s="1"/>
  <c r="I208" i="1"/>
  <c r="H208" i="1" s="1"/>
  <c r="I209" i="1"/>
  <c r="H209" i="1" s="1"/>
  <c r="I210" i="1"/>
  <c r="H210" i="1" s="1"/>
  <c r="I211" i="1"/>
  <c r="H211" i="1" s="1"/>
  <c r="I212" i="1"/>
  <c r="H212" i="1" s="1"/>
  <c r="I213" i="1"/>
  <c r="H213" i="1" s="1"/>
  <c r="I214" i="1"/>
  <c r="H214" i="1" s="1"/>
  <c r="I215" i="1"/>
  <c r="H215" i="1" s="1"/>
  <c r="I216" i="1"/>
  <c r="H216" i="1" s="1"/>
  <c r="I217" i="1"/>
  <c r="H217" i="1" s="1"/>
  <c r="I218" i="1"/>
  <c r="H218" i="1" s="1"/>
  <c r="I219" i="1"/>
  <c r="H219" i="1" s="1"/>
  <c r="I220" i="1"/>
  <c r="H220" i="1" s="1"/>
  <c r="I221" i="1"/>
  <c r="H221" i="1" s="1"/>
  <c r="I222" i="1"/>
  <c r="H222" i="1" s="1"/>
  <c r="I223" i="1"/>
  <c r="H223" i="1" s="1"/>
  <c r="I224" i="1"/>
  <c r="H224" i="1" s="1"/>
  <c r="I225" i="1"/>
  <c r="H225" i="1" s="1"/>
  <c r="I226" i="1"/>
  <c r="H226" i="1" s="1"/>
  <c r="I227" i="1"/>
  <c r="H227" i="1" s="1"/>
  <c r="I228" i="1"/>
  <c r="H228" i="1" s="1"/>
  <c r="I229" i="1"/>
  <c r="H229" i="1" s="1"/>
  <c r="I230" i="1"/>
  <c r="H230" i="1" s="1"/>
  <c r="I231" i="1"/>
  <c r="H231" i="1" s="1"/>
  <c r="I232" i="1"/>
  <c r="H232" i="1" s="1"/>
  <c r="I233" i="1"/>
  <c r="H233" i="1" s="1"/>
  <c r="I234" i="1"/>
  <c r="H234" i="1" s="1"/>
  <c r="I235" i="1"/>
  <c r="H235" i="1" s="1"/>
  <c r="I236" i="1"/>
  <c r="H236" i="1" s="1"/>
  <c r="I237" i="1"/>
  <c r="H237" i="1" s="1"/>
  <c r="I238" i="1"/>
  <c r="H238" i="1" s="1"/>
  <c r="I239" i="1"/>
  <c r="H239" i="1" s="1"/>
  <c r="I240" i="1"/>
  <c r="H240" i="1" s="1"/>
  <c r="I241" i="1"/>
  <c r="H241" i="1" s="1"/>
  <c r="I242" i="1"/>
  <c r="H242" i="1" s="1"/>
  <c r="I243" i="1"/>
  <c r="H243" i="1" s="1"/>
  <c r="I244" i="1"/>
  <c r="H244" i="1" s="1"/>
  <c r="I245" i="1"/>
  <c r="H245" i="1" s="1"/>
  <c r="I246" i="1"/>
  <c r="H246" i="1" s="1"/>
  <c r="I247" i="1"/>
  <c r="H247" i="1" s="1"/>
  <c r="I248" i="1"/>
  <c r="H248" i="1" s="1"/>
  <c r="I2" i="1"/>
  <c r="H2" i="1" s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" i="1"/>
  <c r="F248" i="1"/>
  <c r="E248" i="1"/>
  <c r="C248" i="1"/>
  <c r="B248" i="1"/>
  <c r="F247" i="1"/>
  <c r="E247" i="1"/>
  <c r="C247" i="1"/>
  <c r="B247" i="1"/>
  <c r="F246" i="1"/>
  <c r="E246" i="1"/>
  <c r="C246" i="1"/>
  <c r="B246" i="1"/>
  <c r="F245" i="1"/>
  <c r="E245" i="1"/>
  <c r="C245" i="1"/>
  <c r="B245" i="1"/>
  <c r="F244" i="1"/>
  <c r="E244" i="1"/>
  <c r="C244" i="1"/>
  <c r="B244" i="1"/>
  <c r="F243" i="1"/>
  <c r="E243" i="1"/>
  <c r="C243" i="1"/>
  <c r="B243" i="1"/>
  <c r="F242" i="1"/>
  <c r="E242" i="1"/>
  <c r="C242" i="1"/>
  <c r="B242" i="1"/>
  <c r="F241" i="1"/>
  <c r="E241" i="1"/>
  <c r="C241" i="1"/>
  <c r="B241" i="1"/>
  <c r="F240" i="1"/>
  <c r="E240" i="1"/>
  <c r="C240" i="1"/>
  <c r="B240" i="1"/>
  <c r="F239" i="1"/>
  <c r="E239" i="1"/>
  <c r="C239" i="1"/>
  <c r="B239" i="1"/>
  <c r="F238" i="1"/>
  <c r="E238" i="1"/>
  <c r="C238" i="1"/>
  <c r="B238" i="1"/>
  <c r="F237" i="1"/>
  <c r="E237" i="1"/>
  <c r="C237" i="1"/>
  <c r="B237" i="1"/>
  <c r="F236" i="1"/>
  <c r="E236" i="1"/>
  <c r="C236" i="1"/>
  <c r="B236" i="1"/>
  <c r="F235" i="1"/>
  <c r="E235" i="1"/>
  <c r="C235" i="1"/>
  <c r="B235" i="1"/>
  <c r="F234" i="1"/>
  <c r="E234" i="1"/>
  <c r="C234" i="1"/>
  <c r="B234" i="1"/>
  <c r="F233" i="1"/>
  <c r="E233" i="1"/>
  <c r="C233" i="1"/>
  <c r="B233" i="1"/>
  <c r="F232" i="1"/>
  <c r="E232" i="1"/>
  <c r="C232" i="1"/>
  <c r="B232" i="1"/>
  <c r="F231" i="1"/>
  <c r="E231" i="1"/>
  <c r="C231" i="1"/>
  <c r="B231" i="1"/>
  <c r="F230" i="1"/>
  <c r="E230" i="1"/>
  <c r="C230" i="1"/>
  <c r="B230" i="1"/>
  <c r="F229" i="1"/>
  <c r="E229" i="1"/>
  <c r="C229" i="1"/>
  <c r="B229" i="1"/>
  <c r="F228" i="1"/>
  <c r="E228" i="1"/>
  <c r="C228" i="1"/>
  <c r="B228" i="1"/>
  <c r="F227" i="1"/>
  <c r="E227" i="1"/>
  <c r="C227" i="1"/>
  <c r="B227" i="1"/>
  <c r="F226" i="1"/>
  <c r="E226" i="1"/>
  <c r="C226" i="1"/>
  <c r="B226" i="1"/>
  <c r="F225" i="1"/>
  <c r="E225" i="1"/>
  <c r="C225" i="1"/>
  <c r="B225" i="1"/>
  <c r="F224" i="1"/>
  <c r="E224" i="1"/>
  <c r="C224" i="1"/>
  <c r="B224" i="1"/>
  <c r="F223" i="1"/>
  <c r="E223" i="1"/>
  <c r="C223" i="1"/>
  <c r="B223" i="1"/>
  <c r="F222" i="1"/>
  <c r="E222" i="1"/>
  <c r="C222" i="1"/>
  <c r="B222" i="1"/>
  <c r="F221" i="1"/>
  <c r="E221" i="1"/>
  <c r="C221" i="1"/>
  <c r="B221" i="1"/>
  <c r="F220" i="1"/>
  <c r="E220" i="1"/>
  <c r="C220" i="1"/>
  <c r="B220" i="1"/>
  <c r="F219" i="1"/>
  <c r="E219" i="1"/>
  <c r="C219" i="1"/>
  <c r="B219" i="1"/>
  <c r="F218" i="1"/>
  <c r="E218" i="1"/>
  <c r="C218" i="1"/>
  <c r="B218" i="1"/>
  <c r="F217" i="1"/>
  <c r="E217" i="1"/>
  <c r="C217" i="1"/>
  <c r="B217" i="1"/>
  <c r="F216" i="1"/>
  <c r="E216" i="1"/>
  <c r="C216" i="1"/>
  <c r="B216" i="1"/>
  <c r="F215" i="1"/>
  <c r="E215" i="1"/>
  <c r="C215" i="1"/>
  <c r="B215" i="1"/>
  <c r="F214" i="1"/>
  <c r="E214" i="1"/>
  <c r="C214" i="1"/>
  <c r="B214" i="1"/>
  <c r="F213" i="1"/>
  <c r="E213" i="1"/>
  <c r="C213" i="1"/>
  <c r="B213" i="1"/>
  <c r="F212" i="1"/>
  <c r="E212" i="1"/>
  <c r="C212" i="1"/>
  <c r="B212" i="1"/>
  <c r="F211" i="1"/>
  <c r="E211" i="1"/>
  <c r="C211" i="1"/>
  <c r="B211" i="1"/>
  <c r="F210" i="1"/>
  <c r="E210" i="1"/>
  <c r="C210" i="1"/>
  <c r="B210" i="1"/>
  <c r="F209" i="1"/>
  <c r="E209" i="1"/>
  <c r="C209" i="1"/>
  <c r="B209" i="1"/>
  <c r="F208" i="1"/>
  <c r="E208" i="1"/>
  <c r="C208" i="1"/>
  <c r="B208" i="1"/>
  <c r="F207" i="1"/>
  <c r="E207" i="1"/>
  <c r="C207" i="1"/>
  <c r="B207" i="1"/>
  <c r="F206" i="1"/>
  <c r="E206" i="1"/>
  <c r="C206" i="1"/>
  <c r="B206" i="1"/>
  <c r="F205" i="1"/>
  <c r="E205" i="1"/>
  <c r="C205" i="1"/>
  <c r="B205" i="1"/>
  <c r="F204" i="1"/>
  <c r="E204" i="1"/>
  <c r="C204" i="1"/>
  <c r="B204" i="1"/>
  <c r="F203" i="1"/>
  <c r="E203" i="1"/>
  <c r="C203" i="1"/>
  <c r="B203" i="1"/>
  <c r="F202" i="1"/>
  <c r="E202" i="1"/>
  <c r="C202" i="1"/>
  <c r="B202" i="1"/>
  <c r="F201" i="1"/>
  <c r="E201" i="1"/>
  <c r="C201" i="1"/>
  <c r="B201" i="1"/>
  <c r="F200" i="1"/>
  <c r="E200" i="1"/>
  <c r="C200" i="1"/>
  <c r="B200" i="1"/>
  <c r="F199" i="1"/>
  <c r="E199" i="1"/>
  <c r="C199" i="1"/>
  <c r="B199" i="1"/>
  <c r="F198" i="1"/>
  <c r="E198" i="1"/>
  <c r="C198" i="1"/>
  <c r="B198" i="1"/>
  <c r="F197" i="1"/>
  <c r="E197" i="1"/>
  <c r="C197" i="1"/>
  <c r="B197" i="1"/>
  <c r="F196" i="1"/>
  <c r="E196" i="1"/>
  <c r="C196" i="1"/>
  <c r="B196" i="1"/>
  <c r="F195" i="1"/>
  <c r="E195" i="1"/>
  <c r="C195" i="1"/>
  <c r="B195" i="1"/>
  <c r="F194" i="1"/>
  <c r="E194" i="1"/>
  <c r="C194" i="1"/>
  <c r="B194" i="1"/>
  <c r="F193" i="1"/>
  <c r="E193" i="1"/>
  <c r="C193" i="1"/>
  <c r="B193" i="1"/>
  <c r="F192" i="1"/>
  <c r="E192" i="1"/>
  <c r="C192" i="1"/>
  <c r="B192" i="1"/>
  <c r="F191" i="1"/>
  <c r="E191" i="1"/>
  <c r="C191" i="1"/>
  <c r="B191" i="1"/>
  <c r="F190" i="1"/>
  <c r="E190" i="1"/>
  <c r="C190" i="1"/>
  <c r="B190" i="1"/>
  <c r="F189" i="1"/>
  <c r="E189" i="1"/>
  <c r="C189" i="1"/>
  <c r="B189" i="1"/>
  <c r="F188" i="1"/>
  <c r="E188" i="1"/>
  <c r="C188" i="1"/>
  <c r="B188" i="1"/>
  <c r="F187" i="1"/>
  <c r="E187" i="1"/>
  <c r="C187" i="1"/>
  <c r="B187" i="1"/>
  <c r="F186" i="1"/>
  <c r="E186" i="1"/>
  <c r="C186" i="1"/>
  <c r="B186" i="1"/>
  <c r="F185" i="1"/>
  <c r="E185" i="1"/>
  <c r="C185" i="1"/>
  <c r="B185" i="1"/>
  <c r="F184" i="1"/>
  <c r="E184" i="1"/>
  <c r="C184" i="1"/>
  <c r="B184" i="1"/>
  <c r="F183" i="1"/>
  <c r="E183" i="1"/>
  <c r="C183" i="1"/>
  <c r="B183" i="1"/>
  <c r="F182" i="1"/>
  <c r="E182" i="1"/>
  <c r="C182" i="1"/>
  <c r="B182" i="1"/>
  <c r="F181" i="1"/>
  <c r="E181" i="1"/>
  <c r="C181" i="1"/>
  <c r="B181" i="1"/>
  <c r="F180" i="1"/>
  <c r="E180" i="1"/>
  <c r="C180" i="1"/>
  <c r="B180" i="1"/>
  <c r="F179" i="1"/>
  <c r="E179" i="1"/>
  <c r="C179" i="1"/>
  <c r="B179" i="1"/>
  <c r="F178" i="1"/>
  <c r="E178" i="1"/>
  <c r="C178" i="1"/>
  <c r="B178" i="1"/>
  <c r="F177" i="1"/>
  <c r="E177" i="1"/>
  <c r="C177" i="1"/>
  <c r="B177" i="1"/>
  <c r="F176" i="1"/>
  <c r="E176" i="1"/>
  <c r="C176" i="1"/>
  <c r="B176" i="1"/>
  <c r="F175" i="1"/>
  <c r="E175" i="1"/>
  <c r="C175" i="1"/>
  <c r="B175" i="1"/>
  <c r="F174" i="1"/>
  <c r="E174" i="1"/>
  <c r="C174" i="1"/>
  <c r="B174" i="1"/>
  <c r="F173" i="1"/>
  <c r="E173" i="1"/>
  <c r="C173" i="1"/>
  <c r="B173" i="1"/>
  <c r="F172" i="1"/>
  <c r="E172" i="1"/>
  <c r="C172" i="1"/>
  <c r="B172" i="1"/>
  <c r="F171" i="1"/>
  <c r="E171" i="1"/>
  <c r="C171" i="1"/>
  <c r="B171" i="1"/>
  <c r="F170" i="1"/>
  <c r="E170" i="1"/>
  <c r="C170" i="1"/>
  <c r="B170" i="1"/>
  <c r="F169" i="1"/>
  <c r="E169" i="1"/>
  <c r="C169" i="1"/>
  <c r="B169" i="1"/>
  <c r="F168" i="1"/>
  <c r="E168" i="1"/>
  <c r="C168" i="1"/>
  <c r="B168" i="1"/>
  <c r="F167" i="1"/>
  <c r="E167" i="1"/>
  <c r="C167" i="1"/>
  <c r="B167" i="1"/>
  <c r="F166" i="1"/>
  <c r="E166" i="1"/>
  <c r="C166" i="1"/>
  <c r="B166" i="1"/>
  <c r="F165" i="1"/>
  <c r="E165" i="1"/>
  <c r="C165" i="1"/>
  <c r="B165" i="1"/>
  <c r="F164" i="1"/>
  <c r="E164" i="1"/>
  <c r="C164" i="1"/>
  <c r="B164" i="1"/>
  <c r="F163" i="1"/>
  <c r="E163" i="1"/>
  <c r="C163" i="1"/>
  <c r="B163" i="1"/>
  <c r="F162" i="1"/>
  <c r="E162" i="1"/>
  <c r="C162" i="1"/>
  <c r="B162" i="1"/>
  <c r="F161" i="1"/>
  <c r="E161" i="1"/>
  <c r="C161" i="1"/>
  <c r="B161" i="1"/>
  <c r="F160" i="1"/>
  <c r="E160" i="1"/>
  <c r="C160" i="1"/>
  <c r="B160" i="1"/>
  <c r="F159" i="1"/>
  <c r="E159" i="1"/>
  <c r="C159" i="1"/>
  <c r="B159" i="1"/>
  <c r="F158" i="1"/>
  <c r="E158" i="1"/>
  <c r="C158" i="1"/>
  <c r="B158" i="1"/>
  <c r="F157" i="1"/>
  <c r="E157" i="1"/>
  <c r="C157" i="1"/>
  <c r="B157" i="1"/>
  <c r="F156" i="1"/>
  <c r="E156" i="1"/>
  <c r="C156" i="1"/>
  <c r="B156" i="1"/>
  <c r="F155" i="1"/>
  <c r="E155" i="1"/>
  <c r="C155" i="1"/>
  <c r="B155" i="1"/>
  <c r="F154" i="1"/>
  <c r="E154" i="1"/>
  <c r="C154" i="1"/>
  <c r="B154" i="1"/>
  <c r="F153" i="1"/>
  <c r="E153" i="1"/>
  <c r="C153" i="1"/>
  <c r="B153" i="1"/>
  <c r="F152" i="1"/>
  <c r="E152" i="1"/>
  <c r="C152" i="1"/>
  <c r="B152" i="1"/>
  <c r="F151" i="1"/>
  <c r="E151" i="1"/>
  <c r="C151" i="1"/>
  <c r="B151" i="1"/>
  <c r="F150" i="1"/>
  <c r="E150" i="1"/>
  <c r="C150" i="1"/>
  <c r="B150" i="1"/>
  <c r="F149" i="1"/>
  <c r="E149" i="1"/>
  <c r="C149" i="1"/>
  <c r="B149" i="1"/>
  <c r="F148" i="1"/>
  <c r="E148" i="1"/>
  <c r="C148" i="1"/>
  <c r="B148" i="1"/>
  <c r="F147" i="1"/>
  <c r="E147" i="1"/>
  <c r="C147" i="1"/>
  <c r="B147" i="1"/>
  <c r="F146" i="1"/>
  <c r="E146" i="1"/>
  <c r="C146" i="1"/>
  <c r="B146" i="1"/>
  <c r="F145" i="1"/>
  <c r="E145" i="1"/>
  <c r="C145" i="1"/>
  <c r="B145" i="1"/>
  <c r="F144" i="1"/>
  <c r="E144" i="1"/>
  <c r="C144" i="1"/>
  <c r="B144" i="1"/>
  <c r="F143" i="1"/>
  <c r="E143" i="1"/>
  <c r="C143" i="1"/>
  <c r="B143" i="1"/>
  <c r="F142" i="1"/>
  <c r="E142" i="1"/>
  <c r="C142" i="1"/>
  <c r="B142" i="1"/>
  <c r="F141" i="1"/>
  <c r="E141" i="1"/>
  <c r="C141" i="1"/>
  <c r="B141" i="1"/>
  <c r="F140" i="1"/>
  <c r="E140" i="1"/>
  <c r="C140" i="1"/>
  <c r="B140" i="1"/>
  <c r="F139" i="1"/>
  <c r="E139" i="1"/>
  <c r="C139" i="1"/>
  <c r="B139" i="1"/>
  <c r="F138" i="1"/>
  <c r="E138" i="1"/>
  <c r="C138" i="1"/>
  <c r="B138" i="1"/>
  <c r="F137" i="1"/>
  <c r="E137" i="1"/>
  <c r="C137" i="1"/>
  <c r="B137" i="1"/>
  <c r="F136" i="1"/>
  <c r="E136" i="1"/>
  <c r="C136" i="1"/>
  <c r="B136" i="1"/>
  <c r="F135" i="1"/>
  <c r="E135" i="1"/>
  <c r="C135" i="1"/>
  <c r="B135" i="1"/>
  <c r="F134" i="1"/>
  <c r="E134" i="1"/>
  <c r="C134" i="1"/>
  <c r="B134" i="1"/>
  <c r="F133" i="1"/>
  <c r="E133" i="1"/>
  <c r="C133" i="1"/>
  <c r="B133" i="1"/>
  <c r="F132" i="1"/>
  <c r="E132" i="1"/>
  <c r="C132" i="1"/>
  <c r="B132" i="1"/>
  <c r="F131" i="1"/>
  <c r="E131" i="1"/>
  <c r="C131" i="1"/>
  <c r="B131" i="1"/>
  <c r="F130" i="1"/>
  <c r="E130" i="1"/>
  <c r="C130" i="1"/>
  <c r="B130" i="1"/>
  <c r="F129" i="1"/>
  <c r="E129" i="1"/>
  <c r="C129" i="1"/>
  <c r="B129" i="1"/>
  <c r="F128" i="1"/>
  <c r="E128" i="1"/>
  <c r="C128" i="1"/>
  <c r="B128" i="1"/>
  <c r="F127" i="1"/>
  <c r="E127" i="1"/>
  <c r="C127" i="1"/>
  <c r="B127" i="1"/>
  <c r="F126" i="1"/>
  <c r="E126" i="1"/>
  <c r="C126" i="1"/>
  <c r="B126" i="1"/>
  <c r="F125" i="1"/>
  <c r="E125" i="1"/>
  <c r="C125" i="1"/>
  <c r="B125" i="1"/>
  <c r="F124" i="1"/>
  <c r="E124" i="1"/>
  <c r="C124" i="1"/>
  <c r="B124" i="1"/>
  <c r="F123" i="1"/>
  <c r="E123" i="1"/>
  <c r="C123" i="1"/>
  <c r="B123" i="1"/>
  <c r="F122" i="1"/>
  <c r="E122" i="1"/>
  <c r="C122" i="1"/>
  <c r="B122" i="1"/>
  <c r="F121" i="1"/>
  <c r="E121" i="1"/>
  <c r="C121" i="1"/>
  <c r="B121" i="1"/>
  <c r="F120" i="1"/>
  <c r="E120" i="1"/>
  <c r="C120" i="1"/>
  <c r="B120" i="1"/>
  <c r="F119" i="1"/>
  <c r="E119" i="1"/>
  <c r="C119" i="1"/>
  <c r="B119" i="1"/>
  <c r="F118" i="1"/>
  <c r="E118" i="1"/>
  <c r="C118" i="1"/>
  <c r="B118" i="1"/>
  <c r="F117" i="1"/>
  <c r="E117" i="1"/>
  <c r="C117" i="1"/>
  <c r="B117" i="1"/>
  <c r="F116" i="1"/>
  <c r="E116" i="1"/>
  <c r="C116" i="1"/>
  <c r="B116" i="1"/>
  <c r="F115" i="1"/>
  <c r="E115" i="1"/>
  <c r="C115" i="1"/>
  <c r="B115" i="1"/>
  <c r="F114" i="1"/>
  <c r="E114" i="1"/>
  <c r="C114" i="1"/>
  <c r="B114" i="1"/>
  <c r="F113" i="1"/>
  <c r="E113" i="1"/>
  <c r="C113" i="1"/>
  <c r="B113" i="1"/>
  <c r="F112" i="1"/>
  <c r="E112" i="1"/>
  <c r="C112" i="1"/>
  <c r="B112" i="1"/>
  <c r="F111" i="1"/>
  <c r="E111" i="1"/>
  <c r="C111" i="1"/>
  <c r="B111" i="1"/>
  <c r="F110" i="1"/>
  <c r="E110" i="1"/>
  <c r="C110" i="1"/>
  <c r="B110" i="1"/>
  <c r="F109" i="1"/>
  <c r="E109" i="1"/>
  <c r="C109" i="1"/>
  <c r="B109" i="1"/>
  <c r="F108" i="1"/>
  <c r="E108" i="1"/>
  <c r="C108" i="1"/>
  <c r="B108" i="1"/>
  <c r="F107" i="1"/>
  <c r="E107" i="1"/>
  <c r="C107" i="1"/>
  <c r="B107" i="1"/>
  <c r="F106" i="1"/>
  <c r="E106" i="1"/>
  <c r="C106" i="1"/>
  <c r="B106" i="1"/>
  <c r="F105" i="1"/>
  <c r="E105" i="1"/>
  <c r="C105" i="1"/>
  <c r="B105" i="1"/>
  <c r="F104" i="1"/>
  <c r="E104" i="1"/>
  <c r="C104" i="1"/>
  <c r="B104" i="1"/>
  <c r="F103" i="1"/>
  <c r="E103" i="1"/>
  <c r="C103" i="1"/>
  <c r="B103" i="1"/>
  <c r="F102" i="1"/>
  <c r="E102" i="1"/>
  <c r="C102" i="1"/>
  <c r="B102" i="1"/>
  <c r="F101" i="1"/>
  <c r="E101" i="1"/>
  <c r="C101" i="1"/>
  <c r="B101" i="1"/>
  <c r="F100" i="1"/>
  <c r="E100" i="1"/>
  <c r="C100" i="1"/>
  <c r="B100" i="1"/>
  <c r="F99" i="1"/>
  <c r="E99" i="1"/>
  <c r="C99" i="1"/>
  <c r="B99" i="1"/>
  <c r="F98" i="1"/>
  <c r="E98" i="1"/>
  <c r="C98" i="1"/>
  <c r="B98" i="1"/>
  <c r="F97" i="1"/>
  <c r="E97" i="1"/>
  <c r="C97" i="1"/>
  <c r="B97" i="1"/>
  <c r="F96" i="1"/>
  <c r="E96" i="1"/>
  <c r="C96" i="1"/>
  <c r="B96" i="1"/>
  <c r="F95" i="1"/>
  <c r="E95" i="1"/>
  <c r="C95" i="1"/>
  <c r="B95" i="1"/>
  <c r="F94" i="1"/>
  <c r="E94" i="1"/>
  <c r="C94" i="1"/>
  <c r="B94" i="1"/>
  <c r="F93" i="1"/>
  <c r="E93" i="1"/>
  <c r="C93" i="1"/>
  <c r="B93" i="1"/>
  <c r="F92" i="1"/>
  <c r="E92" i="1"/>
  <c r="C92" i="1"/>
  <c r="B92" i="1"/>
  <c r="F91" i="1"/>
  <c r="E91" i="1"/>
  <c r="C91" i="1"/>
  <c r="B91" i="1"/>
  <c r="F90" i="1"/>
  <c r="E90" i="1"/>
  <c r="C90" i="1"/>
  <c r="B90" i="1"/>
  <c r="F89" i="1"/>
  <c r="E89" i="1"/>
  <c r="C89" i="1"/>
  <c r="B89" i="1"/>
  <c r="F88" i="1"/>
  <c r="E88" i="1"/>
  <c r="C88" i="1"/>
  <c r="B88" i="1"/>
  <c r="F87" i="1"/>
  <c r="E87" i="1"/>
  <c r="C87" i="1"/>
  <c r="B87" i="1"/>
  <c r="F86" i="1"/>
  <c r="E86" i="1"/>
  <c r="C86" i="1"/>
  <c r="B86" i="1"/>
  <c r="F85" i="1"/>
  <c r="E85" i="1"/>
  <c r="C85" i="1"/>
  <c r="B85" i="1"/>
  <c r="F84" i="1"/>
  <c r="E84" i="1"/>
  <c r="C84" i="1"/>
  <c r="B84" i="1"/>
  <c r="F83" i="1"/>
  <c r="E83" i="1"/>
  <c r="C83" i="1"/>
  <c r="B83" i="1"/>
  <c r="F82" i="1"/>
  <c r="E82" i="1"/>
  <c r="C82" i="1"/>
  <c r="B82" i="1"/>
  <c r="F81" i="1"/>
  <c r="E81" i="1"/>
  <c r="C81" i="1"/>
  <c r="B81" i="1"/>
  <c r="F80" i="1"/>
  <c r="E80" i="1"/>
  <c r="C80" i="1"/>
  <c r="B80" i="1"/>
  <c r="F79" i="1"/>
  <c r="E79" i="1"/>
  <c r="C79" i="1"/>
  <c r="B79" i="1"/>
  <c r="F78" i="1"/>
  <c r="E78" i="1"/>
  <c r="C78" i="1"/>
  <c r="B78" i="1"/>
  <c r="F77" i="1"/>
  <c r="E77" i="1"/>
  <c r="C77" i="1"/>
  <c r="B77" i="1"/>
  <c r="F76" i="1"/>
  <c r="E76" i="1"/>
  <c r="C76" i="1"/>
  <c r="B76" i="1"/>
  <c r="F75" i="1"/>
  <c r="E75" i="1"/>
  <c r="C75" i="1"/>
  <c r="B75" i="1"/>
  <c r="F74" i="1"/>
  <c r="E74" i="1"/>
  <c r="C74" i="1"/>
  <c r="B74" i="1"/>
  <c r="F73" i="1"/>
  <c r="E73" i="1"/>
  <c r="C73" i="1"/>
  <c r="B73" i="1"/>
  <c r="F72" i="1"/>
  <c r="E72" i="1"/>
  <c r="C72" i="1"/>
  <c r="B72" i="1"/>
  <c r="F71" i="1"/>
  <c r="E71" i="1"/>
  <c r="C71" i="1"/>
  <c r="B71" i="1"/>
  <c r="F70" i="1"/>
  <c r="E70" i="1"/>
  <c r="C70" i="1"/>
  <c r="B70" i="1"/>
  <c r="F69" i="1"/>
  <c r="E69" i="1"/>
  <c r="C69" i="1"/>
  <c r="B69" i="1"/>
  <c r="F68" i="1"/>
  <c r="E68" i="1"/>
  <c r="C68" i="1"/>
  <c r="B68" i="1"/>
  <c r="F67" i="1"/>
  <c r="E67" i="1"/>
  <c r="C67" i="1"/>
  <c r="B67" i="1"/>
  <c r="F66" i="1"/>
  <c r="E66" i="1"/>
  <c r="C66" i="1"/>
  <c r="B66" i="1"/>
  <c r="F65" i="1"/>
  <c r="E65" i="1"/>
  <c r="C65" i="1"/>
  <c r="B65" i="1"/>
  <c r="F64" i="1"/>
  <c r="E64" i="1"/>
  <c r="C64" i="1"/>
  <c r="B64" i="1"/>
  <c r="F63" i="1"/>
  <c r="E63" i="1"/>
  <c r="C63" i="1"/>
  <c r="B63" i="1"/>
  <c r="F62" i="1"/>
  <c r="E62" i="1"/>
  <c r="C62" i="1"/>
  <c r="B62" i="1"/>
  <c r="F61" i="1"/>
  <c r="E61" i="1"/>
  <c r="C61" i="1"/>
  <c r="B61" i="1"/>
  <c r="F60" i="1"/>
  <c r="E60" i="1"/>
  <c r="C60" i="1"/>
  <c r="B60" i="1"/>
  <c r="F59" i="1"/>
  <c r="E59" i="1"/>
  <c r="C59" i="1"/>
  <c r="B59" i="1"/>
  <c r="F58" i="1"/>
  <c r="E58" i="1"/>
  <c r="C58" i="1"/>
  <c r="B58" i="1"/>
  <c r="F57" i="1"/>
  <c r="E57" i="1"/>
  <c r="C57" i="1"/>
  <c r="B57" i="1"/>
  <c r="F56" i="1"/>
  <c r="E56" i="1"/>
  <c r="C56" i="1"/>
  <c r="B56" i="1"/>
  <c r="F55" i="1"/>
  <c r="E55" i="1"/>
  <c r="C55" i="1"/>
  <c r="B55" i="1"/>
  <c r="F54" i="1"/>
  <c r="E54" i="1"/>
  <c r="C54" i="1"/>
  <c r="B54" i="1"/>
  <c r="F53" i="1"/>
  <c r="E53" i="1"/>
  <c r="C53" i="1"/>
  <c r="B53" i="1"/>
  <c r="F52" i="1"/>
  <c r="E52" i="1"/>
  <c r="C52" i="1"/>
  <c r="B52" i="1"/>
  <c r="F51" i="1"/>
  <c r="E51" i="1"/>
  <c r="C51" i="1"/>
  <c r="B51" i="1"/>
  <c r="F50" i="1"/>
  <c r="E50" i="1"/>
  <c r="C50" i="1"/>
  <c r="B50" i="1"/>
  <c r="F49" i="1"/>
  <c r="E49" i="1"/>
  <c r="C49" i="1"/>
  <c r="B49" i="1"/>
  <c r="F48" i="1"/>
  <c r="E48" i="1"/>
  <c r="C48" i="1"/>
  <c r="B48" i="1"/>
  <c r="F47" i="1"/>
  <c r="E47" i="1"/>
  <c r="C47" i="1"/>
  <c r="B47" i="1"/>
  <c r="F46" i="1"/>
  <c r="E46" i="1"/>
  <c r="C46" i="1"/>
  <c r="B46" i="1"/>
  <c r="F45" i="1"/>
  <c r="E45" i="1"/>
  <c r="C45" i="1"/>
  <c r="B45" i="1"/>
  <c r="F44" i="1"/>
  <c r="E44" i="1"/>
  <c r="C44" i="1"/>
  <c r="B44" i="1"/>
  <c r="F43" i="1"/>
  <c r="E43" i="1"/>
  <c r="C43" i="1"/>
  <c r="B43" i="1"/>
  <c r="F42" i="1"/>
  <c r="E42" i="1"/>
  <c r="C42" i="1"/>
  <c r="B42" i="1"/>
  <c r="F41" i="1"/>
  <c r="E41" i="1"/>
  <c r="C41" i="1"/>
  <c r="B41" i="1"/>
  <c r="F40" i="1"/>
  <c r="E40" i="1"/>
  <c r="C40" i="1"/>
  <c r="B40" i="1"/>
  <c r="F39" i="1"/>
  <c r="E39" i="1"/>
  <c r="C39" i="1"/>
  <c r="B39" i="1"/>
  <c r="F38" i="1"/>
  <c r="E38" i="1"/>
  <c r="C38" i="1"/>
  <c r="B38" i="1"/>
  <c r="F37" i="1"/>
  <c r="E37" i="1"/>
  <c r="C37" i="1"/>
  <c r="B37" i="1"/>
  <c r="F36" i="1"/>
  <c r="E36" i="1"/>
  <c r="C36" i="1"/>
  <c r="B36" i="1"/>
  <c r="F35" i="1"/>
  <c r="E35" i="1"/>
  <c r="C35" i="1"/>
  <c r="B35" i="1"/>
  <c r="F34" i="1"/>
  <c r="E34" i="1"/>
  <c r="C34" i="1"/>
  <c r="B34" i="1"/>
  <c r="F33" i="1"/>
  <c r="E33" i="1"/>
  <c r="C33" i="1"/>
  <c r="B33" i="1"/>
  <c r="F32" i="1"/>
  <c r="E32" i="1"/>
  <c r="C32" i="1"/>
  <c r="B32" i="1"/>
  <c r="F31" i="1"/>
  <c r="E31" i="1"/>
  <c r="C31" i="1"/>
  <c r="B31" i="1"/>
  <c r="F30" i="1"/>
  <c r="E30" i="1"/>
  <c r="C30" i="1"/>
  <c r="B30" i="1"/>
  <c r="F29" i="1"/>
  <c r="E29" i="1"/>
  <c r="C29" i="1"/>
  <c r="B29" i="1"/>
  <c r="F28" i="1"/>
  <c r="E28" i="1"/>
  <c r="C28" i="1"/>
  <c r="B28" i="1"/>
  <c r="F27" i="1"/>
  <c r="E27" i="1"/>
  <c r="C27" i="1"/>
  <c r="B27" i="1"/>
  <c r="F26" i="1"/>
  <c r="E26" i="1"/>
  <c r="C26" i="1"/>
  <c r="B26" i="1"/>
  <c r="F25" i="1"/>
  <c r="E25" i="1"/>
  <c r="C25" i="1"/>
  <c r="B25" i="1"/>
  <c r="F24" i="1"/>
  <c r="E24" i="1"/>
  <c r="C24" i="1"/>
  <c r="B24" i="1"/>
  <c r="F23" i="1"/>
  <c r="E23" i="1"/>
  <c r="C23" i="1"/>
  <c r="B23" i="1"/>
  <c r="F22" i="1"/>
  <c r="E22" i="1"/>
  <c r="C22" i="1"/>
  <c r="B22" i="1"/>
  <c r="F21" i="1"/>
  <c r="E21" i="1"/>
  <c r="C21" i="1"/>
  <c r="B21" i="1"/>
  <c r="F20" i="1"/>
  <c r="E20" i="1"/>
  <c r="C20" i="1"/>
  <c r="B20" i="1"/>
  <c r="F19" i="1"/>
  <c r="E19" i="1"/>
  <c r="C19" i="1"/>
  <c r="B19" i="1"/>
  <c r="F18" i="1"/>
  <c r="E18" i="1"/>
  <c r="C18" i="1"/>
  <c r="B18" i="1"/>
  <c r="F17" i="1"/>
  <c r="E17" i="1"/>
  <c r="C17" i="1"/>
  <c r="B17" i="1"/>
  <c r="F16" i="1"/>
  <c r="E16" i="1"/>
  <c r="C16" i="1"/>
  <c r="B16" i="1"/>
  <c r="F15" i="1"/>
  <c r="E15" i="1"/>
  <c r="C15" i="1"/>
  <c r="B15" i="1"/>
  <c r="F14" i="1"/>
  <c r="E14" i="1"/>
  <c r="C14" i="1"/>
  <c r="B14" i="1"/>
  <c r="F13" i="1"/>
  <c r="E13" i="1"/>
  <c r="C13" i="1"/>
  <c r="B13" i="1"/>
  <c r="F12" i="1"/>
  <c r="E12" i="1"/>
  <c r="C12" i="1"/>
  <c r="B12" i="1"/>
  <c r="F11" i="1"/>
  <c r="E11" i="1"/>
  <c r="C11" i="1"/>
  <c r="B11" i="1"/>
  <c r="F10" i="1"/>
  <c r="E10" i="1"/>
  <c r="C10" i="1"/>
  <c r="B10" i="1"/>
  <c r="F9" i="1"/>
  <c r="E9" i="1"/>
  <c r="C9" i="1"/>
  <c r="B9" i="1"/>
  <c r="F8" i="1"/>
  <c r="E8" i="1"/>
  <c r="C8" i="1"/>
  <c r="B8" i="1"/>
  <c r="F7" i="1"/>
  <c r="E7" i="1"/>
  <c r="C7" i="1"/>
  <c r="B7" i="1"/>
  <c r="F6" i="1"/>
  <c r="E6" i="1"/>
  <c r="C6" i="1"/>
  <c r="B6" i="1"/>
  <c r="F5" i="1"/>
  <c r="E5" i="1"/>
  <c r="C5" i="1"/>
  <c r="B5" i="1"/>
  <c r="F4" i="1"/>
  <c r="E4" i="1"/>
  <c r="C4" i="1"/>
  <c r="B4" i="1"/>
  <c r="F3" i="1"/>
  <c r="E3" i="1"/>
  <c r="C3" i="1"/>
  <c r="B3" i="1"/>
  <c r="F2" i="1"/>
  <c r="E2" i="1"/>
  <c r="C2" i="1"/>
  <c r="B2" i="1"/>
</calcChain>
</file>

<file path=xl/sharedStrings.xml><?xml version="1.0" encoding="utf-8"?>
<sst xmlns="http://schemas.openxmlformats.org/spreadsheetml/2006/main" count="310" uniqueCount="51">
  <si>
    <t>Data</t>
  </si>
  <si>
    <t>H1</t>
  </si>
  <si>
    <t>H2</t>
  </si>
  <si>
    <t>h3</t>
  </si>
  <si>
    <t>H3</t>
  </si>
  <si>
    <t>H4</t>
  </si>
  <si>
    <t>H5</t>
  </si>
  <si>
    <t>H6</t>
  </si>
  <si>
    <t>H7</t>
  </si>
  <si>
    <t>H8</t>
  </si>
  <si>
    <t>H9</t>
  </si>
  <si>
    <t>C1</t>
  </si>
  <si>
    <t>C2</t>
  </si>
  <si>
    <t>C3</t>
  </si>
  <si>
    <t>A1</t>
  </si>
  <si>
    <t>A2</t>
  </si>
  <si>
    <t>A3</t>
  </si>
  <si>
    <t>B1</t>
  </si>
  <si>
    <t>B2</t>
  </si>
  <si>
    <t>B3</t>
  </si>
  <si>
    <t>Material Code</t>
  </si>
  <si>
    <t>Model Code</t>
  </si>
  <si>
    <t>Model Name</t>
  </si>
  <si>
    <t>Project Name</t>
  </si>
  <si>
    <t>Product Total</t>
  </si>
  <si>
    <t>Total OK</t>
  </si>
  <si>
    <t>Total KO</t>
  </si>
  <si>
    <t>RED</t>
  </si>
  <si>
    <t>GREEN</t>
  </si>
  <si>
    <t>PROJECT DELTA</t>
  </si>
  <si>
    <t>PROJECT ALFA</t>
  </si>
  <si>
    <t>PROJECT BRAVO</t>
  </si>
  <si>
    <t>PROJECT CHARLIE</t>
  </si>
  <si>
    <t>PROJECT ECHO</t>
  </si>
  <si>
    <t>PROJECT GOLF</t>
  </si>
  <si>
    <t>PROJECT HOTEL</t>
  </si>
  <si>
    <t>PROJECT INDIA</t>
  </si>
  <si>
    <t>PROJECT FOXTROT</t>
  </si>
  <si>
    <t>Quantity Flaw 1</t>
  </si>
  <si>
    <t>Quantity Flaw 2</t>
  </si>
  <si>
    <t>Quantity Flaw 3</t>
  </si>
  <si>
    <t>Quantity Flaw 4</t>
  </si>
  <si>
    <t>Quantity Flaw 6</t>
  </si>
  <si>
    <t>Quantity Flaw 5</t>
  </si>
  <si>
    <t>Quantity Flaw 7</t>
  </si>
  <si>
    <t>Quantity Flaw 8</t>
  </si>
  <si>
    <t>Quantity Flaw 9</t>
  </si>
  <si>
    <t>Quantity Flaw 10</t>
  </si>
  <si>
    <t>Quantity Flaw 11</t>
  </si>
  <si>
    <t>Product Code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</si>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</sst>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;@"/>
  </numFmts>
  <fonts count="3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0" fillId="0" borderId="0" xfId="0"/>
    <xf numFmtId="164" fontId="0" fillId="0" borderId="0" xfId="0" applyNumberFormat="1"/>
    <xf numFmtId="0" fontId="0" fillId="0" borderId="0" xfId="0" quotePrefix="1"/>
    <xf numFmtId="0" fontId="0" fillId="0" borderId="0" xfId="0" applyProtection="1">
      <protection locked="0"/>
    </xf>
    <xf numFmtId="0" fontId="0" fillId="4" borderId="1" xfId="0" applyFont="1" applyFill="1" applyBorder="1"/>
    <xf numFmtId="0" fontId="0" fillId="4" borderId="3" xfId="0" applyFont="1" applyFill="1" applyBorder="1"/>
    <xf numFmtId="0" fontId="0" fillId="4" borderId="2" xfId="0" applyFont="1" applyFill="1" applyBorder="1"/>
    <xf numFmtId="164" fontId="0" fillId="4" borderId="3" xfId="0" applyNumberFormat="1" applyFont="1" applyFill="1" applyBorder="1"/>
    <xf numFmtId="164" fontId="0" fillId="4" borderId="2" xfId="0" applyNumberFormat="1" applyFont="1" applyFill="1" applyBorder="1"/>
    <xf numFmtId="164" fontId="1" fillId="3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14" fontId="1" fillId="3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 wrapText="1"/>
    </xf>
    <xf numFmtId="164" fontId="0" fillId="4" borderId="3" xfId="0" applyNumberFormat="1" applyFont="1" applyFill="1" applyBorder="1" applyProtection="1">
      <protection locked="0"/>
    </xf>
    <xf numFmtId="0" fontId="0" fillId="4" borderId="3" xfId="0" applyFont="1" applyFill="1" applyBorder="1" applyProtection="1">
      <protection locked="0"/>
    </xf>
  </cellXfs>
  <cellStyles count="1">
    <cellStyle name="Normal" xfId="0" builtinId="0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d/m;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7E4070A-C19D-4030-972E-BAB088DA8780}" name="Table3" displayName="Table3" ref="A1:T250" totalsRowShown="0" headerRowDxfId="0" dataDxfId="1" tableBorderDxfId="22">
  <autoFilter ref="A1:T250" xr:uid="{87E4070A-C19D-4030-972E-BAB088DA8780}"/>
  <tableColumns count="20">
    <tableColumn id="1" xr3:uid="{2622CE73-6210-4882-AEF9-5C5D2F85BA76}" name="Data" dataDxfId="21">
      <calculatedColumnFormula>TODAY()</calculatedColumnFormula>
    </tableColumn>
    <tableColumn id="2" xr3:uid="{5BF16A0E-592A-4C24-BB45-48B16D413F58}" name="Material Code" dataDxfId="20">
      <calculatedColumnFormula>_xlfn.XLOOKUP(Production_Machine_1_Data_Entry!$D2, Data_Source!D:D, Data_Source!A:A, "Missing Value")</calculatedColumnFormula>
    </tableColumn>
    <tableColumn id="3" xr3:uid="{7D3AC03B-B79B-4615-AC6D-CF8D5269F12F}" name="Model Code" dataDxfId="19">
      <calculatedColumnFormula>_xlfn.XLOOKUP(Production_Machine_1_Data_Entry!$D2, Data_Source!D:D,Data_Source!C:C, "Missing Value")</calculatedColumnFormula>
    </tableColumn>
    <tableColumn id="4" xr3:uid="{A0CB78F3-556A-469D-8449-E72B1298A699}" name="Product Code" dataDxfId="18"/>
    <tableColumn id="5" xr3:uid="{1A3EE9BB-3E7E-452C-85A8-8813BF2CB587}" name="Model Name" dataDxfId="17">
      <calculatedColumnFormula>_xlfn.XLOOKUP(Production_Machine_1_Data_Entry!$D2,Data_Source!D:D, Data_Source!B:B, "Missing Value")</calculatedColumnFormula>
    </tableColumn>
    <tableColumn id="6" xr3:uid="{2676A885-496C-4086-BEB0-959A37D3ACEA}" name="Project Name" dataDxfId="16">
      <calculatedColumnFormula>_xlfn.XLOOKUP(Production_Machine_1_Data_Entry!$D2,Data_Source!D:D, Data_Source!E:E, "Missing Value")</calculatedColumnFormula>
    </tableColumn>
    <tableColumn id="7" xr3:uid="{5C48AF8B-54C5-43C4-97C6-699E717C92E9}" name="Product Total" dataDxfId="15"/>
    <tableColumn id="8" xr3:uid="{F768A927-107E-484D-BC0E-357202E0C0CE}" name="Total OK" dataDxfId="14">
      <calculatedColumnFormula>G2-I2</calculatedColumnFormula>
    </tableColumn>
    <tableColumn id="9" xr3:uid="{FC4B87A6-BFB5-47F2-8334-1B25ADE49A54}" name="Total KO" dataDxfId="13">
      <calculatedColumnFormula>SUM(Production_Machine_1_Data_Entry!$J2:$T2)</calculatedColumnFormula>
    </tableColumn>
    <tableColumn id="10" xr3:uid="{F3BEE080-38DC-4E68-869D-C4305CAFE932}" name="Quantity Flaw 1" dataDxfId="12"/>
    <tableColumn id="11" xr3:uid="{7B6F8E76-0DCB-4C94-9376-8D90C908FE17}" name="Quantity Flaw 2" dataDxfId="11"/>
    <tableColumn id="12" xr3:uid="{223D81A1-B0C3-4CB2-ADFD-4FD64D86B6AA}" name="Quantity Flaw 3" dataDxfId="10"/>
    <tableColumn id="13" xr3:uid="{1477FD30-CD4F-4C94-BA1A-F873EC94A2BA}" name="Quantity Flaw 4" dataDxfId="9"/>
    <tableColumn id="14" xr3:uid="{BE2343D0-2BD0-457A-B5A7-F32CEDD27793}" name="Quantity Flaw 5" dataDxfId="8"/>
    <tableColumn id="15" xr3:uid="{B59E0385-B8DC-4D34-8C5F-F177CB1CB356}" name="Quantity Flaw 6" dataDxfId="7"/>
    <tableColumn id="16" xr3:uid="{F5C06232-4816-4BEB-A993-89FED2123E93}" name="Quantity Flaw 7" dataDxfId="6"/>
    <tableColumn id="17" xr3:uid="{4A0B2552-B525-4C64-AC74-D73CF6CB85BD}" name="Quantity Flaw 8" dataDxfId="5"/>
    <tableColumn id="18" xr3:uid="{AB56F22E-6FA6-441B-8F70-0EFC0C42657A}" name="Quantity Flaw 9" dataDxfId="4"/>
    <tableColumn id="19" xr3:uid="{4CED67A8-5268-4DD3-84C8-B06390356E9C}" name="Quantity Flaw 10" dataDxfId="3"/>
    <tableColumn id="20" xr3:uid="{9EF633D6-4B63-46F5-B761-86CDD6E16357}" name="Quantity Flaw 11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nfo_Table" displayName="Info_Table" ref="A2:E14" totalsRowShown="0">
  <autoFilter ref="A2:E14" xr:uid="{00000000-0009-0000-0100-000002000000}"/>
  <tableColumns count="5">
    <tableColumn id="1" xr3:uid="{00000000-0010-0000-0100-000001000000}" name="Material Code"/>
    <tableColumn id="2" xr3:uid="{00000000-0010-0000-0100-000002000000}" name="Model Name"/>
    <tableColumn id="3" xr3:uid="{00000000-0010-0000-0100-000003000000}" name="Model Code"/>
    <tableColumn id="4" xr3:uid="{00000000-0010-0000-0100-000004000000}" name="Product Code"/>
    <tableColumn id="5" xr3:uid="{00000000-0010-0000-0100-000005000000}" name="Project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97"/>
  <sheetViews>
    <sheetView tabSelected="1" zoomScale="70" zoomScaleNormal="70" workbookViewId="0">
      <pane ySplit="1" topLeftCell="A2" activePane="bottomLeft" state="frozen"/>
      <selection pane="bottomLeft" activeCell="L75" sqref="L75"/>
    </sheetView>
  </sheetViews>
  <sheetFormatPr defaultColWidth="9.140625" defaultRowHeight="15" x14ac:dyDescent="0.25"/>
  <cols>
    <col min="1" max="1" width="13.140625" style="3" customWidth="1"/>
    <col min="2" max="2" width="19.28515625" style="2" customWidth="1"/>
    <col min="3" max="3" width="17.7109375" style="2" customWidth="1"/>
    <col min="4" max="4" width="18.85546875" style="2" customWidth="1"/>
    <col min="5" max="5" width="18" style="2" customWidth="1"/>
    <col min="6" max="6" width="18.85546875" style="2" customWidth="1"/>
    <col min="7" max="7" width="19" style="2" customWidth="1"/>
    <col min="8" max="9" width="17.7109375" style="2" customWidth="1"/>
    <col min="10" max="18" width="21.28515625" style="2" customWidth="1"/>
    <col min="19" max="20" width="22.7109375" style="2" customWidth="1"/>
    <col min="21" max="16384" width="9.140625" style="2"/>
  </cols>
  <sheetData>
    <row r="1" spans="1:20" ht="37.5" x14ac:dyDescent="0.25">
      <c r="A1" s="11" t="s">
        <v>0</v>
      </c>
      <c r="B1" s="12" t="s">
        <v>20</v>
      </c>
      <c r="C1" s="13" t="s">
        <v>21</v>
      </c>
      <c r="D1" s="13" t="s">
        <v>49</v>
      </c>
      <c r="E1" s="12" t="s">
        <v>22</v>
      </c>
      <c r="F1" s="12" t="s">
        <v>23</v>
      </c>
      <c r="G1" s="14" t="s">
        <v>24</v>
      </c>
      <c r="H1" s="14" t="s">
        <v>25</v>
      </c>
      <c r="I1" s="14" t="s">
        <v>26</v>
      </c>
      <c r="J1" s="14" t="s">
        <v>38</v>
      </c>
      <c r="K1" s="14" t="s">
        <v>39</v>
      </c>
      <c r="L1" s="14" t="s">
        <v>40</v>
      </c>
      <c r="M1" s="14" t="s">
        <v>41</v>
      </c>
      <c r="N1" s="14" t="s">
        <v>43</v>
      </c>
      <c r="O1" s="14" t="s">
        <v>42</v>
      </c>
      <c r="P1" s="14" t="s">
        <v>44</v>
      </c>
      <c r="Q1" s="14" t="s">
        <v>45</v>
      </c>
      <c r="R1" s="14" t="s">
        <v>46</v>
      </c>
      <c r="S1" s="14" t="s">
        <v>47</v>
      </c>
      <c r="T1" s="14" t="s">
        <v>48</v>
      </c>
    </row>
    <row r="2" spans="1:20" x14ac:dyDescent="0.25">
      <c r="A2" s="9">
        <f ca="1">TODAY()</f>
        <v>46197</v>
      </c>
      <c r="B2" s="7" t="str">
        <f>_xlfn.XLOOKUP(Production_Machine_1_Data_Entry!$D2, Data_Source!D:D, Data_Source!A:A, "Missing Value")</f>
        <v>C1</v>
      </c>
      <c r="C2" s="7">
        <f>_xlfn.XLOOKUP(Production_Machine_1_Data_Entry!$D2, Data_Source!D:D,Data_Source!C:C, "Missing Value")</f>
        <v>111</v>
      </c>
      <c r="D2" s="7" t="s">
        <v>1</v>
      </c>
      <c r="E2" s="7" t="str">
        <f>_xlfn.XLOOKUP(Production_Machine_1_Data_Entry!$D2,Data_Source!D:D, Data_Source!B:B, "Missing Value")</f>
        <v>BLUE</v>
      </c>
      <c r="F2" s="7" t="str">
        <f>_xlfn.XLOOKUP(Production_Machine_1_Data_Entry!$D2,Data_Source!D:D, Data_Source!E:E, "Missing Value")</f>
        <v>PROJECT ALFA</v>
      </c>
      <c r="G2" s="7">
        <v>720</v>
      </c>
      <c r="H2" s="7">
        <f>G2-I2</f>
        <v>715</v>
      </c>
      <c r="I2" s="7">
        <f>SUM(Production_Machine_1_Data_Entry!$J2:$T2)</f>
        <v>5</v>
      </c>
      <c r="J2" s="7">
        <v>3</v>
      </c>
      <c r="K2" s="7">
        <v>1</v>
      </c>
      <c r="L2" s="7">
        <v>0</v>
      </c>
      <c r="M2" s="7"/>
      <c r="N2" s="7"/>
      <c r="O2" s="7"/>
      <c r="P2" s="7"/>
      <c r="Q2" s="7"/>
      <c r="R2" s="7"/>
      <c r="S2" s="7"/>
      <c r="T2" s="7">
        <v>1</v>
      </c>
    </row>
    <row r="3" spans="1:20" x14ac:dyDescent="0.25">
      <c r="A3" s="9">
        <f t="shared" ref="A3:A66" ca="1" si="0">TODAY()</f>
        <v>46197</v>
      </c>
      <c r="B3" s="7" t="str">
        <f>_xlfn.XLOOKUP(Production_Machine_1_Data_Entry!$D3, Data_Source!D:D, Data_Source!A:A, "Missing Value")</f>
        <v>C1</v>
      </c>
      <c r="C3" s="7">
        <f>_xlfn.XLOOKUP(Production_Machine_1_Data_Entry!$D3, Data_Source!D:D,Data_Source!C:C, "Missing Value")</f>
        <v>111</v>
      </c>
      <c r="D3" s="7" t="s">
        <v>1</v>
      </c>
      <c r="E3" s="7" t="str">
        <f>_xlfn.XLOOKUP(Production_Machine_1_Data_Entry!$D3,Data_Source!D:D, Data_Source!B:B, "Missing Value")</f>
        <v>BLUE</v>
      </c>
      <c r="F3" s="7" t="str">
        <f>_xlfn.XLOOKUP(Production_Machine_1_Data_Entry!$D3,Data_Source!D:D, Data_Source!E:E, "Missing Value")</f>
        <v>PROJECT ALFA</v>
      </c>
      <c r="G3" s="7"/>
      <c r="H3" s="7">
        <f t="shared" ref="H3:H66" si="1">G3-I3</f>
        <v>0</v>
      </c>
      <c r="I3" s="7">
        <f>SUM(Production_Machine_1_Data_Entry!$J3:$T3)</f>
        <v>0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20" x14ac:dyDescent="0.25">
      <c r="A4" s="9">
        <f t="shared" ca="1" si="0"/>
        <v>46197</v>
      </c>
      <c r="B4" s="7" t="str">
        <f>_xlfn.XLOOKUP(Production_Machine_1_Data_Entry!$D4, Data_Source!D:D, Data_Source!A:A, "Missing Value")</f>
        <v>C1</v>
      </c>
      <c r="C4" s="7">
        <f>_xlfn.XLOOKUP(Production_Machine_1_Data_Entry!$D4, Data_Source!D:D,Data_Source!C:C, "Missing Value")</f>
        <v>111</v>
      </c>
      <c r="D4" s="7" t="s">
        <v>1</v>
      </c>
      <c r="E4" s="7" t="str">
        <f>_xlfn.XLOOKUP(Production_Machine_1_Data_Entry!$D4,Data_Source!D:D, Data_Source!B:B, "Missing Value")</f>
        <v>BLUE</v>
      </c>
      <c r="F4" s="7" t="str">
        <f>_xlfn.XLOOKUP(Production_Machine_1_Data_Entry!$D4,Data_Source!D:D, Data_Source!E:E, "Missing Value")</f>
        <v>PROJECT ALFA</v>
      </c>
      <c r="G4" s="7"/>
      <c r="H4" s="7">
        <f t="shared" si="1"/>
        <v>0</v>
      </c>
      <c r="I4" s="7">
        <f>SUM(Production_Machine_1_Data_Entry!$J4:$T4)</f>
        <v>0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spans="1:20" x14ac:dyDescent="0.25">
      <c r="A5" s="9">
        <f t="shared" ca="1" si="0"/>
        <v>46197</v>
      </c>
      <c r="B5" s="7" t="str">
        <f>_xlfn.XLOOKUP(Production_Machine_1_Data_Entry!$D5, Data_Source!D:D, Data_Source!A:A, "Missing Value")</f>
        <v>C1</v>
      </c>
      <c r="C5" s="7">
        <f>_xlfn.XLOOKUP(Production_Machine_1_Data_Entry!$D5, Data_Source!D:D,Data_Source!C:C, "Missing Value")</f>
        <v>111</v>
      </c>
      <c r="D5" s="7" t="s">
        <v>1</v>
      </c>
      <c r="E5" s="7" t="str">
        <f>_xlfn.XLOOKUP(Production_Machine_1_Data_Entry!$D5,Data_Source!D:D, Data_Source!B:B, "Missing Value")</f>
        <v>BLUE</v>
      </c>
      <c r="F5" s="7" t="str">
        <f>_xlfn.XLOOKUP(Production_Machine_1_Data_Entry!$D5,Data_Source!D:D, Data_Source!E:E, "Missing Value")</f>
        <v>PROJECT ALFA</v>
      </c>
      <c r="G5" s="7"/>
      <c r="H5" s="7">
        <f t="shared" si="1"/>
        <v>0</v>
      </c>
      <c r="I5" s="7">
        <f>SUM(Production_Machine_1_Data_Entry!$J5:$T5)</f>
        <v>0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0" x14ac:dyDescent="0.25">
      <c r="A6" s="9">
        <f t="shared" ca="1" si="0"/>
        <v>46197</v>
      </c>
      <c r="B6" s="7" t="str">
        <f>_xlfn.XLOOKUP(Production_Machine_1_Data_Entry!$D6, Data_Source!D:D, Data_Source!A:A, "Missing Value")</f>
        <v>C1</v>
      </c>
      <c r="C6" s="7">
        <f>_xlfn.XLOOKUP(Production_Machine_1_Data_Entry!$D6, Data_Source!D:D,Data_Source!C:C, "Missing Value")</f>
        <v>111</v>
      </c>
      <c r="D6" s="7" t="s">
        <v>1</v>
      </c>
      <c r="E6" s="7" t="str">
        <f>_xlfn.XLOOKUP(Production_Machine_1_Data_Entry!$D6,Data_Source!D:D, Data_Source!B:B, "Missing Value")</f>
        <v>BLUE</v>
      </c>
      <c r="F6" s="7" t="str">
        <f>_xlfn.XLOOKUP(Production_Machine_1_Data_Entry!$D6,Data_Source!D:D, Data_Source!E:E, "Missing Value")</f>
        <v>PROJECT ALFA</v>
      </c>
      <c r="G6" s="7"/>
      <c r="H6" s="7">
        <f t="shared" si="1"/>
        <v>0</v>
      </c>
      <c r="I6" s="7">
        <f>SUM(Production_Machine_1_Data_Entry!$J6:$T6)</f>
        <v>0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spans="1:20" x14ac:dyDescent="0.25">
      <c r="A7" s="9">
        <f t="shared" ca="1" si="0"/>
        <v>46197</v>
      </c>
      <c r="B7" s="7" t="str">
        <f>_xlfn.XLOOKUP(Production_Machine_1_Data_Entry!$D7, Data_Source!D:D, Data_Source!A:A, "Missing Value")</f>
        <v>C1</v>
      </c>
      <c r="C7" s="7">
        <f>_xlfn.XLOOKUP(Production_Machine_1_Data_Entry!$D7, Data_Source!D:D,Data_Source!C:C, "Missing Value")</f>
        <v>111</v>
      </c>
      <c r="D7" s="7" t="s">
        <v>1</v>
      </c>
      <c r="E7" s="7" t="str">
        <f>_xlfn.XLOOKUP(Production_Machine_1_Data_Entry!$D7,Data_Source!D:D, Data_Source!B:B, "Missing Value")</f>
        <v>BLUE</v>
      </c>
      <c r="F7" s="7" t="str">
        <f>_xlfn.XLOOKUP(Production_Machine_1_Data_Entry!$D7,Data_Source!D:D, Data_Source!E:E, "Missing Value")</f>
        <v>PROJECT ALFA</v>
      </c>
      <c r="G7" s="7"/>
      <c r="H7" s="7">
        <f t="shared" si="1"/>
        <v>0</v>
      </c>
      <c r="I7" s="7">
        <f>SUM(Production_Machine_1_Data_Entry!$J7:$T7)</f>
        <v>0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0" x14ac:dyDescent="0.25">
      <c r="A8" s="9">
        <f t="shared" ca="1" si="0"/>
        <v>46197</v>
      </c>
      <c r="B8" s="7" t="str">
        <f>_xlfn.XLOOKUP(Production_Machine_1_Data_Entry!$D8, Data_Source!D:D, Data_Source!A:A, "Missing Value")</f>
        <v>C1</v>
      </c>
      <c r="C8" s="7">
        <f>_xlfn.XLOOKUP(Production_Machine_1_Data_Entry!$D8, Data_Source!D:D,Data_Source!C:C, "Missing Value")</f>
        <v>111</v>
      </c>
      <c r="D8" s="7" t="s">
        <v>1</v>
      </c>
      <c r="E8" s="7" t="str">
        <f>_xlfn.XLOOKUP(Production_Machine_1_Data_Entry!$D8,Data_Source!D:D, Data_Source!B:B, "Missing Value")</f>
        <v>BLUE</v>
      </c>
      <c r="F8" s="7" t="str">
        <f>_xlfn.XLOOKUP(Production_Machine_1_Data_Entry!$D8,Data_Source!D:D, Data_Source!E:E, "Missing Value")</f>
        <v>PROJECT ALFA</v>
      </c>
      <c r="G8" s="7"/>
      <c r="H8" s="7">
        <f t="shared" si="1"/>
        <v>0</v>
      </c>
      <c r="I8" s="7">
        <f>SUM(Production_Machine_1_Data_Entry!$J8:$T8)</f>
        <v>0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spans="1:20" x14ac:dyDescent="0.25">
      <c r="A9" s="9">
        <f t="shared" ca="1" si="0"/>
        <v>46197</v>
      </c>
      <c r="B9" s="7" t="str">
        <f>_xlfn.XLOOKUP(Production_Machine_1_Data_Entry!$D9, Data_Source!D:D, Data_Source!A:A, "Missing Value")</f>
        <v>C1</v>
      </c>
      <c r="C9" s="7">
        <f>_xlfn.XLOOKUP(Production_Machine_1_Data_Entry!$D9, Data_Source!D:D,Data_Source!C:C, "Missing Value")</f>
        <v>111</v>
      </c>
      <c r="D9" s="7" t="s">
        <v>1</v>
      </c>
      <c r="E9" s="7" t="str">
        <f>_xlfn.XLOOKUP(Production_Machine_1_Data_Entry!$D9,Data_Source!D:D, Data_Source!B:B, "Missing Value")</f>
        <v>BLUE</v>
      </c>
      <c r="F9" s="7" t="str">
        <f>_xlfn.XLOOKUP(Production_Machine_1_Data_Entry!$D9,Data_Source!D:D, Data_Source!E:E, "Missing Value")</f>
        <v>PROJECT ALFA</v>
      </c>
      <c r="G9" s="7"/>
      <c r="H9" s="7">
        <f t="shared" si="1"/>
        <v>0</v>
      </c>
      <c r="I9" s="7">
        <f>SUM(Production_Machine_1_Data_Entry!$J9:$T9)</f>
        <v>0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20" x14ac:dyDescent="0.25">
      <c r="A10" s="9">
        <f t="shared" ca="1" si="0"/>
        <v>46197</v>
      </c>
      <c r="B10" s="7" t="str">
        <f>_xlfn.XLOOKUP(Production_Machine_1_Data_Entry!$D10, Data_Source!D:D, Data_Source!A:A, "Missing Value")</f>
        <v>C1</v>
      </c>
      <c r="C10" s="7">
        <f>_xlfn.XLOOKUP(Production_Machine_1_Data_Entry!$D10, Data_Source!D:D,Data_Source!C:C, "Missing Value")</f>
        <v>111</v>
      </c>
      <c r="D10" s="7" t="s">
        <v>1</v>
      </c>
      <c r="E10" s="7" t="str">
        <f>_xlfn.XLOOKUP(Production_Machine_1_Data_Entry!$D10,Data_Source!D:D, Data_Source!B:B, "Missing Value")</f>
        <v>BLUE</v>
      </c>
      <c r="F10" s="7" t="str">
        <f>_xlfn.XLOOKUP(Production_Machine_1_Data_Entry!$D10,Data_Source!D:D, Data_Source!E:E, "Missing Value")</f>
        <v>PROJECT ALFA</v>
      </c>
      <c r="G10" s="7"/>
      <c r="H10" s="7">
        <f t="shared" si="1"/>
        <v>0</v>
      </c>
      <c r="I10" s="7">
        <f>SUM(Production_Machine_1_Data_Entry!$J10:$T10)</f>
        <v>0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0" x14ac:dyDescent="0.25">
      <c r="A11" s="9">
        <f t="shared" ca="1" si="0"/>
        <v>46197</v>
      </c>
      <c r="B11" s="7" t="str">
        <f>_xlfn.XLOOKUP(Production_Machine_1_Data_Entry!$D11, Data_Source!D:D, Data_Source!A:A, "Missing Value")</f>
        <v>C1</v>
      </c>
      <c r="C11" s="7">
        <f>_xlfn.XLOOKUP(Production_Machine_1_Data_Entry!$D11, Data_Source!D:D,Data_Source!C:C, "Missing Value")</f>
        <v>111</v>
      </c>
      <c r="D11" s="7" t="s">
        <v>1</v>
      </c>
      <c r="E11" s="7" t="str">
        <f>_xlfn.XLOOKUP(Production_Machine_1_Data_Entry!$D11,Data_Source!D:D, Data_Source!B:B, "Missing Value")</f>
        <v>BLUE</v>
      </c>
      <c r="F11" s="7" t="str">
        <f>_xlfn.XLOOKUP(Production_Machine_1_Data_Entry!$D11,Data_Source!D:D, Data_Source!E:E, "Missing Value")</f>
        <v>PROJECT ALFA</v>
      </c>
      <c r="G11" s="7"/>
      <c r="H11" s="7">
        <f t="shared" si="1"/>
        <v>0</v>
      </c>
      <c r="I11" s="7">
        <f>SUM(Production_Machine_1_Data_Entry!$J11:$T11)</f>
        <v>0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0" x14ac:dyDescent="0.25">
      <c r="A12" s="9">
        <f t="shared" ca="1" si="0"/>
        <v>46197</v>
      </c>
      <c r="B12" s="7" t="str">
        <f>_xlfn.XLOOKUP(Production_Machine_1_Data_Entry!$D12, Data_Source!D:D, Data_Source!A:A, "Missing Value")</f>
        <v>C1</v>
      </c>
      <c r="C12" s="7">
        <f>_xlfn.XLOOKUP(Production_Machine_1_Data_Entry!$D12, Data_Source!D:D,Data_Source!C:C, "Missing Value")</f>
        <v>111</v>
      </c>
      <c r="D12" s="7" t="s">
        <v>1</v>
      </c>
      <c r="E12" s="7" t="str">
        <f>_xlfn.XLOOKUP(Production_Machine_1_Data_Entry!$D12,Data_Source!D:D, Data_Source!B:B, "Missing Value")</f>
        <v>BLUE</v>
      </c>
      <c r="F12" s="7" t="str">
        <f>_xlfn.XLOOKUP(Production_Machine_1_Data_Entry!$D12,Data_Source!D:D, Data_Source!E:E, "Missing Value")</f>
        <v>PROJECT ALFA</v>
      </c>
      <c r="G12" s="7"/>
      <c r="H12" s="7">
        <f t="shared" si="1"/>
        <v>0</v>
      </c>
      <c r="I12" s="7">
        <f>SUM(Production_Machine_1_Data_Entry!$J12:$T12)</f>
        <v>0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0" x14ac:dyDescent="0.25">
      <c r="A13" s="9">
        <f t="shared" ca="1" si="0"/>
        <v>46197</v>
      </c>
      <c r="B13" s="7" t="str">
        <f>_xlfn.XLOOKUP(Production_Machine_1_Data_Entry!$D13, Data_Source!D:D, Data_Source!A:A, "Missing Value")</f>
        <v>C1</v>
      </c>
      <c r="C13" s="7">
        <f>_xlfn.XLOOKUP(Production_Machine_1_Data_Entry!$D13, Data_Source!D:D,Data_Source!C:C, "Missing Value")</f>
        <v>111</v>
      </c>
      <c r="D13" s="7" t="s">
        <v>1</v>
      </c>
      <c r="E13" s="7" t="str">
        <f>_xlfn.XLOOKUP(Production_Machine_1_Data_Entry!$D13,Data_Source!D:D, Data_Source!B:B, "Missing Value")</f>
        <v>BLUE</v>
      </c>
      <c r="F13" s="7" t="str">
        <f>_xlfn.XLOOKUP(Production_Machine_1_Data_Entry!$D13,Data_Source!D:D, Data_Source!E:E, "Missing Value")</f>
        <v>PROJECT ALFA</v>
      </c>
      <c r="G13" s="7"/>
      <c r="H13" s="7">
        <f t="shared" si="1"/>
        <v>0</v>
      </c>
      <c r="I13" s="7">
        <f>SUM(Production_Machine_1_Data_Entry!$J13:$T13)</f>
        <v>0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0" x14ac:dyDescent="0.25">
      <c r="A14" s="9">
        <f t="shared" ca="1" si="0"/>
        <v>46197</v>
      </c>
      <c r="B14" s="7" t="str">
        <f>_xlfn.XLOOKUP(Production_Machine_1_Data_Entry!$D14, Data_Source!D:D, Data_Source!A:A, "Missing Value")</f>
        <v>C1</v>
      </c>
      <c r="C14" s="7">
        <f>_xlfn.XLOOKUP(Production_Machine_1_Data_Entry!$D14, Data_Source!D:D,Data_Source!C:C, "Missing Value")</f>
        <v>111</v>
      </c>
      <c r="D14" s="7" t="s">
        <v>1</v>
      </c>
      <c r="E14" s="7" t="str">
        <f>_xlfn.XLOOKUP(Production_Machine_1_Data_Entry!$D14,Data_Source!D:D, Data_Source!B:B, "Missing Value")</f>
        <v>BLUE</v>
      </c>
      <c r="F14" s="7" t="str">
        <f>_xlfn.XLOOKUP(Production_Machine_1_Data_Entry!$D14,Data_Source!D:D, Data_Source!E:E, "Missing Value")</f>
        <v>PROJECT ALFA</v>
      </c>
      <c r="G14" s="7"/>
      <c r="H14" s="7">
        <f t="shared" si="1"/>
        <v>0</v>
      </c>
      <c r="I14" s="7">
        <f>SUM(Production_Machine_1_Data_Entry!$J14:$T14)</f>
        <v>0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 spans="1:20" x14ac:dyDescent="0.25">
      <c r="A15" s="9">
        <f t="shared" ca="1" si="0"/>
        <v>46197</v>
      </c>
      <c r="B15" s="7" t="str">
        <f>_xlfn.XLOOKUP(Production_Machine_1_Data_Entry!$D15, Data_Source!D:D, Data_Source!A:A, "Missing Value")</f>
        <v>C1</v>
      </c>
      <c r="C15" s="7">
        <f>_xlfn.XLOOKUP(Production_Machine_1_Data_Entry!$D15, Data_Source!D:D,Data_Source!C:C, "Missing Value")</f>
        <v>111</v>
      </c>
      <c r="D15" s="7" t="s">
        <v>1</v>
      </c>
      <c r="E15" s="7" t="str">
        <f>_xlfn.XLOOKUP(Production_Machine_1_Data_Entry!$D15,Data_Source!D:D, Data_Source!B:B, "Missing Value")</f>
        <v>BLUE</v>
      </c>
      <c r="F15" s="7" t="str">
        <f>_xlfn.XLOOKUP(Production_Machine_1_Data_Entry!$D15,Data_Source!D:D, Data_Source!E:E, "Missing Value")</f>
        <v>PROJECT ALFA</v>
      </c>
      <c r="G15" s="7"/>
      <c r="H15" s="7">
        <f t="shared" si="1"/>
        <v>0</v>
      </c>
      <c r="I15" s="7">
        <f>SUM(Production_Machine_1_Data_Entry!$J15:$T15)</f>
        <v>0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 spans="1:20" x14ac:dyDescent="0.25">
      <c r="A16" s="9">
        <f t="shared" ca="1" si="0"/>
        <v>46197</v>
      </c>
      <c r="B16" s="7" t="str">
        <f>_xlfn.XLOOKUP(Production_Machine_1_Data_Entry!$D16, Data_Source!D:D, Data_Source!A:A, "Missing Value")</f>
        <v>C1</v>
      </c>
      <c r="C16" s="7">
        <f>_xlfn.XLOOKUP(Production_Machine_1_Data_Entry!$D16, Data_Source!D:D,Data_Source!C:C, "Missing Value")</f>
        <v>111</v>
      </c>
      <c r="D16" s="7" t="s">
        <v>1</v>
      </c>
      <c r="E16" s="7" t="str">
        <f>_xlfn.XLOOKUP(Production_Machine_1_Data_Entry!$D16,Data_Source!D:D, Data_Source!B:B, "Missing Value")</f>
        <v>BLUE</v>
      </c>
      <c r="F16" s="7" t="str">
        <f>_xlfn.XLOOKUP(Production_Machine_1_Data_Entry!$D16,Data_Source!D:D, Data_Source!E:E, "Missing Value")</f>
        <v>PROJECT ALFA</v>
      </c>
      <c r="G16" s="7"/>
      <c r="H16" s="7">
        <f t="shared" si="1"/>
        <v>0</v>
      </c>
      <c r="I16" s="7">
        <f>SUM(Production_Machine_1_Data_Entry!$J16:$T16)</f>
        <v>0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 x14ac:dyDescent="0.25">
      <c r="A17" s="9">
        <f t="shared" ca="1" si="0"/>
        <v>46197</v>
      </c>
      <c r="B17" s="7" t="str">
        <f>_xlfn.XLOOKUP(Production_Machine_1_Data_Entry!$D17, Data_Source!D:D, Data_Source!A:A, "Missing Value")</f>
        <v>C1</v>
      </c>
      <c r="C17" s="7">
        <f>_xlfn.XLOOKUP(Production_Machine_1_Data_Entry!$D17, Data_Source!D:D,Data_Source!C:C, "Missing Value")</f>
        <v>111</v>
      </c>
      <c r="D17" s="7" t="s">
        <v>1</v>
      </c>
      <c r="E17" s="7" t="str">
        <f>_xlfn.XLOOKUP(Production_Machine_1_Data_Entry!$D17,Data_Source!D:D, Data_Source!B:B, "Missing Value")</f>
        <v>BLUE</v>
      </c>
      <c r="F17" s="7" t="str">
        <f>_xlfn.XLOOKUP(Production_Machine_1_Data_Entry!$D17,Data_Source!D:D, Data_Source!E:E, "Missing Value")</f>
        <v>PROJECT ALFA</v>
      </c>
      <c r="G17" s="7"/>
      <c r="H17" s="7">
        <f t="shared" si="1"/>
        <v>0</v>
      </c>
      <c r="I17" s="7">
        <f>SUM(Production_Machine_1_Data_Entry!$J17:$T17)</f>
        <v>0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1:20" x14ac:dyDescent="0.25">
      <c r="A18" s="9">
        <f t="shared" ca="1" si="0"/>
        <v>46197</v>
      </c>
      <c r="B18" s="7" t="str">
        <f>_xlfn.XLOOKUP(Production_Machine_1_Data_Entry!$D18, Data_Source!D:D, Data_Source!A:A, "Missing Value")</f>
        <v>C1</v>
      </c>
      <c r="C18" s="7">
        <f>_xlfn.XLOOKUP(Production_Machine_1_Data_Entry!$D18, Data_Source!D:D,Data_Source!C:C, "Missing Value")</f>
        <v>111</v>
      </c>
      <c r="D18" s="7" t="s">
        <v>1</v>
      </c>
      <c r="E18" s="7" t="str">
        <f>_xlfn.XLOOKUP(Production_Machine_1_Data_Entry!$D18,Data_Source!D:D, Data_Source!B:B, "Missing Value")</f>
        <v>BLUE</v>
      </c>
      <c r="F18" s="7" t="str">
        <f>_xlfn.XLOOKUP(Production_Machine_1_Data_Entry!$D18,Data_Source!D:D, Data_Source!E:E, "Missing Value")</f>
        <v>PROJECT ALFA</v>
      </c>
      <c r="G18" s="7"/>
      <c r="H18" s="7">
        <f t="shared" si="1"/>
        <v>0</v>
      </c>
      <c r="I18" s="7">
        <f>SUM(Production_Machine_1_Data_Entry!$J18:$T18)</f>
        <v>0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1:20" x14ac:dyDescent="0.25">
      <c r="A19" s="9">
        <f t="shared" ca="1" si="0"/>
        <v>46197</v>
      </c>
      <c r="B19" s="7" t="str">
        <f>_xlfn.XLOOKUP(Production_Machine_1_Data_Entry!$D19, Data_Source!D:D, Data_Source!A:A, "Missing Value")</f>
        <v>C1</v>
      </c>
      <c r="C19" s="7">
        <f>_xlfn.XLOOKUP(Production_Machine_1_Data_Entry!$D19, Data_Source!D:D,Data_Source!C:C, "Missing Value")</f>
        <v>111</v>
      </c>
      <c r="D19" s="7" t="s">
        <v>1</v>
      </c>
      <c r="E19" s="7" t="str">
        <f>_xlfn.XLOOKUP(Production_Machine_1_Data_Entry!$D19,Data_Source!D:D, Data_Source!B:B, "Missing Value")</f>
        <v>BLUE</v>
      </c>
      <c r="F19" s="7" t="str">
        <f>_xlfn.XLOOKUP(Production_Machine_1_Data_Entry!$D19,Data_Source!D:D, Data_Source!E:E, "Missing Value")</f>
        <v>PROJECT ALFA</v>
      </c>
      <c r="G19" s="7"/>
      <c r="H19" s="7">
        <f t="shared" si="1"/>
        <v>0</v>
      </c>
      <c r="I19" s="7">
        <f>SUM(Production_Machine_1_Data_Entry!$J19:$T19)</f>
        <v>0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0" x14ac:dyDescent="0.25">
      <c r="A20" s="9">
        <f t="shared" ca="1" si="0"/>
        <v>46197</v>
      </c>
      <c r="B20" s="7" t="str">
        <f>_xlfn.XLOOKUP(Production_Machine_1_Data_Entry!$D20, Data_Source!D:D, Data_Source!A:A, "Missing Value")</f>
        <v>C1</v>
      </c>
      <c r="C20" s="7">
        <f>_xlfn.XLOOKUP(Production_Machine_1_Data_Entry!$D20, Data_Source!D:D,Data_Source!C:C, "Missing Value")</f>
        <v>111</v>
      </c>
      <c r="D20" s="7" t="s">
        <v>1</v>
      </c>
      <c r="E20" s="7" t="str">
        <f>_xlfn.XLOOKUP(Production_Machine_1_Data_Entry!$D20,Data_Source!D:D, Data_Source!B:B, "Missing Value")</f>
        <v>BLUE</v>
      </c>
      <c r="F20" s="7" t="str">
        <f>_xlfn.XLOOKUP(Production_Machine_1_Data_Entry!$D20,Data_Source!D:D, Data_Source!E:E, "Missing Value")</f>
        <v>PROJECT ALFA</v>
      </c>
      <c r="G20" s="7"/>
      <c r="H20" s="7">
        <f t="shared" si="1"/>
        <v>0</v>
      </c>
      <c r="I20" s="7">
        <f>SUM(Production_Machine_1_Data_Entry!$J20:$T20)</f>
        <v>0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</row>
    <row r="21" spans="1:20" x14ac:dyDescent="0.25">
      <c r="A21" s="9">
        <f t="shared" ca="1" si="0"/>
        <v>46197</v>
      </c>
      <c r="B21" s="7" t="str">
        <f>_xlfn.XLOOKUP(Production_Machine_1_Data_Entry!$D21, Data_Source!D:D, Data_Source!A:A, "Missing Value")</f>
        <v>C1</v>
      </c>
      <c r="C21" s="7">
        <f>_xlfn.XLOOKUP(Production_Machine_1_Data_Entry!$D21, Data_Source!D:D,Data_Source!C:C, "Missing Value")</f>
        <v>111</v>
      </c>
      <c r="D21" s="7" t="s">
        <v>1</v>
      </c>
      <c r="E21" s="7" t="str">
        <f>_xlfn.XLOOKUP(Production_Machine_1_Data_Entry!$D21,Data_Source!D:D, Data_Source!B:B, "Missing Value")</f>
        <v>BLUE</v>
      </c>
      <c r="F21" s="7" t="str">
        <f>_xlfn.XLOOKUP(Production_Machine_1_Data_Entry!$D21,Data_Source!D:D, Data_Source!E:E, "Missing Value")</f>
        <v>PROJECT ALFA</v>
      </c>
      <c r="G21" s="7"/>
      <c r="H21" s="7">
        <f t="shared" si="1"/>
        <v>0</v>
      </c>
      <c r="I21" s="7">
        <f>SUM(Production_Machine_1_Data_Entry!$J21:$T21)</f>
        <v>0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</row>
    <row r="22" spans="1:20" x14ac:dyDescent="0.25">
      <c r="A22" s="9">
        <f t="shared" ca="1" si="0"/>
        <v>46197</v>
      </c>
      <c r="B22" s="7" t="str">
        <f>_xlfn.XLOOKUP(Production_Machine_1_Data_Entry!$D22, Data_Source!D:D, Data_Source!A:A, "Missing Value")</f>
        <v>C1</v>
      </c>
      <c r="C22" s="7">
        <f>_xlfn.XLOOKUP(Production_Machine_1_Data_Entry!$D22, Data_Source!D:D,Data_Source!C:C, "Missing Value")</f>
        <v>111</v>
      </c>
      <c r="D22" s="7" t="s">
        <v>1</v>
      </c>
      <c r="E22" s="7" t="str">
        <f>_xlfn.XLOOKUP(Production_Machine_1_Data_Entry!$D22,Data_Source!D:D, Data_Source!B:B, "Missing Value")</f>
        <v>BLUE</v>
      </c>
      <c r="F22" s="7" t="str">
        <f>_xlfn.XLOOKUP(Production_Machine_1_Data_Entry!$D22,Data_Source!D:D, Data_Source!E:E, "Missing Value")</f>
        <v>PROJECT ALFA</v>
      </c>
      <c r="G22" s="7"/>
      <c r="H22" s="7">
        <f t="shared" si="1"/>
        <v>0</v>
      </c>
      <c r="I22" s="7">
        <f>SUM(Production_Machine_1_Data_Entry!$J22:$T22)</f>
        <v>0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 spans="1:20" x14ac:dyDescent="0.25">
      <c r="A23" s="9">
        <f t="shared" ca="1" si="0"/>
        <v>46197</v>
      </c>
      <c r="B23" s="7" t="str">
        <f>_xlfn.XLOOKUP(Production_Machine_1_Data_Entry!$D23, Data_Source!D:D, Data_Source!A:A, "Missing Value")</f>
        <v>C1</v>
      </c>
      <c r="C23" s="7">
        <f>_xlfn.XLOOKUP(Production_Machine_1_Data_Entry!$D23, Data_Source!D:D,Data_Source!C:C, "Missing Value")</f>
        <v>111</v>
      </c>
      <c r="D23" s="7" t="s">
        <v>1</v>
      </c>
      <c r="E23" s="7" t="str">
        <f>_xlfn.XLOOKUP(Production_Machine_1_Data_Entry!$D23,Data_Source!D:D, Data_Source!B:B, "Missing Value")</f>
        <v>BLUE</v>
      </c>
      <c r="F23" s="7" t="str">
        <f>_xlfn.XLOOKUP(Production_Machine_1_Data_Entry!$D23,Data_Source!D:D, Data_Source!E:E, "Missing Value")</f>
        <v>PROJECT ALFA</v>
      </c>
      <c r="G23" s="7"/>
      <c r="H23" s="7">
        <f t="shared" si="1"/>
        <v>0</v>
      </c>
      <c r="I23" s="7">
        <f>SUM(Production_Machine_1_Data_Entry!$J23:$T23)</f>
        <v>0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</row>
    <row r="24" spans="1:20" x14ac:dyDescent="0.25">
      <c r="A24" s="9">
        <f t="shared" ca="1" si="0"/>
        <v>46197</v>
      </c>
      <c r="B24" s="7" t="str">
        <f>_xlfn.XLOOKUP(Production_Machine_1_Data_Entry!$D24, Data_Source!D:D, Data_Source!A:A, "Missing Value")</f>
        <v>C1</v>
      </c>
      <c r="C24" s="7">
        <f>_xlfn.XLOOKUP(Production_Machine_1_Data_Entry!$D24, Data_Source!D:D,Data_Source!C:C, "Missing Value")</f>
        <v>111</v>
      </c>
      <c r="D24" s="7" t="s">
        <v>1</v>
      </c>
      <c r="E24" s="7" t="str">
        <f>_xlfn.XLOOKUP(Production_Machine_1_Data_Entry!$D24,Data_Source!D:D, Data_Source!B:B, "Missing Value")</f>
        <v>BLUE</v>
      </c>
      <c r="F24" s="7" t="str">
        <f>_xlfn.XLOOKUP(Production_Machine_1_Data_Entry!$D24,Data_Source!D:D, Data_Source!E:E, "Missing Value")</f>
        <v>PROJECT ALFA</v>
      </c>
      <c r="G24" s="7"/>
      <c r="H24" s="7">
        <f t="shared" si="1"/>
        <v>0</v>
      </c>
      <c r="I24" s="7">
        <f>SUM(Production_Machine_1_Data_Entry!$J24:$T24)</f>
        <v>0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</row>
    <row r="25" spans="1:20" x14ac:dyDescent="0.25">
      <c r="A25" s="9">
        <f t="shared" ca="1" si="0"/>
        <v>46197</v>
      </c>
      <c r="B25" s="7" t="str">
        <f>_xlfn.XLOOKUP(Production_Machine_1_Data_Entry!$D25, Data_Source!D:D, Data_Source!A:A, "Missing Value")</f>
        <v>C1</v>
      </c>
      <c r="C25" s="7">
        <f>_xlfn.XLOOKUP(Production_Machine_1_Data_Entry!$D25, Data_Source!D:D,Data_Source!C:C, "Missing Value")</f>
        <v>111</v>
      </c>
      <c r="D25" s="7" t="s">
        <v>1</v>
      </c>
      <c r="E25" s="7" t="str">
        <f>_xlfn.XLOOKUP(Production_Machine_1_Data_Entry!$D25,Data_Source!D:D, Data_Source!B:B, "Missing Value")</f>
        <v>BLUE</v>
      </c>
      <c r="F25" s="7" t="str">
        <f>_xlfn.XLOOKUP(Production_Machine_1_Data_Entry!$D25,Data_Source!D:D, Data_Source!E:E, "Missing Value")</f>
        <v>PROJECT ALFA</v>
      </c>
      <c r="G25" s="7"/>
      <c r="H25" s="7">
        <f t="shared" si="1"/>
        <v>0</v>
      </c>
      <c r="I25" s="7">
        <f>SUM(Production_Machine_1_Data_Entry!$J25:$T25)</f>
        <v>0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</row>
    <row r="26" spans="1:20" x14ac:dyDescent="0.25">
      <c r="A26" s="9">
        <f t="shared" ca="1" si="0"/>
        <v>46197</v>
      </c>
      <c r="B26" s="7" t="str">
        <f>_xlfn.XLOOKUP(Production_Machine_1_Data_Entry!$D26, Data_Source!D:D, Data_Source!A:A, "Missing Value")</f>
        <v>C1</v>
      </c>
      <c r="C26" s="7">
        <f>_xlfn.XLOOKUP(Production_Machine_1_Data_Entry!$D26, Data_Source!D:D,Data_Source!C:C, "Missing Value")</f>
        <v>111</v>
      </c>
      <c r="D26" s="7" t="s">
        <v>1</v>
      </c>
      <c r="E26" s="7" t="str">
        <f>_xlfn.XLOOKUP(Production_Machine_1_Data_Entry!$D26,Data_Source!D:D, Data_Source!B:B, "Missing Value")</f>
        <v>BLUE</v>
      </c>
      <c r="F26" s="7" t="str">
        <f>_xlfn.XLOOKUP(Production_Machine_1_Data_Entry!$D26,Data_Source!D:D, Data_Source!E:E, "Missing Value")</f>
        <v>PROJECT ALFA</v>
      </c>
      <c r="G26" s="7"/>
      <c r="H26" s="7">
        <f t="shared" si="1"/>
        <v>0</v>
      </c>
      <c r="I26" s="7">
        <f>SUM(Production_Machine_1_Data_Entry!$J26:$T26)</f>
        <v>0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</row>
    <row r="27" spans="1:20" x14ac:dyDescent="0.25">
      <c r="A27" s="9">
        <f t="shared" ca="1" si="0"/>
        <v>46197</v>
      </c>
      <c r="B27" s="7" t="str">
        <f>_xlfn.XLOOKUP(Production_Machine_1_Data_Entry!$D27, Data_Source!D:D, Data_Source!A:A, "Missing Value")</f>
        <v>C1</v>
      </c>
      <c r="C27" s="7">
        <f>_xlfn.XLOOKUP(Production_Machine_1_Data_Entry!$D27, Data_Source!D:D,Data_Source!C:C, "Missing Value")</f>
        <v>111</v>
      </c>
      <c r="D27" s="7" t="s">
        <v>1</v>
      </c>
      <c r="E27" s="7" t="str">
        <f>_xlfn.XLOOKUP(Production_Machine_1_Data_Entry!$D27,Data_Source!D:D, Data_Source!B:B, "Missing Value")</f>
        <v>BLUE</v>
      </c>
      <c r="F27" s="7" t="str">
        <f>_xlfn.XLOOKUP(Production_Machine_1_Data_Entry!$D27,Data_Source!D:D, Data_Source!E:E, "Missing Value")</f>
        <v>PROJECT ALFA</v>
      </c>
      <c r="G27" s="7"/>
      <c r="H27" s="7">
        <f t="shared" si="1"/>
        <v>0</v>
      </c>
      <c r="I27" s="7">
        <f>SUM(Production_Machine_1_Data_Entry!$J27:$T27)</f>
        <v>0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</row>
    <row r="28" spans="1:20" x14ac:dyDescent="0.25">
      <c r="A28" s="9">
        <f t="shared" ca="1" si="0"/>
        <v>46197</v>
      </c>
      <c r="B28" s="7" t="str">
        <f>_xlfn.XLOOKUP(Production_Machine_1_Data_Entry!$D28, Data_Source!D:D, Data_Source!A:A, "Missing Value")</f>
        <v>C1</v>
      </c>
      <c r="C28" s="7">
        <f>_xlfn.XLOOKUP(Production_Machine_1_Data_Entry!$D28, Data_Source!D:D,Data_Source!C:C, "Missing Value")</f>
        <v>111</v>
      </c>
      <c r="D28" s="7" t="s">
        <v>1</v>
      </c>
      <c r="E28" s="7" t="str">
        <f>_xlfn.XLOOKUP(Production_Machine_1_Data_Entry!$D28,Data_Source!D:D, Data_Source!B:B, "Missing Value")</f>
        <v>BLUE</v>
      </c>
      <c r="F28" s="7" t="str">
        <f>_xlfn.XLOOKUP(Production_Machine_1_Data_Entry!$D28,Data_Source!D:D, Data_Source!E:E, "Missing Value")</f>
        <v>PROJECT ALFA</v>
      </c>
      <c r="G28" s="7"/>
      <c r="H28" s="7">
        <f t="shared" si="1"/>
        <v>0</v>
      </c>
      <c r="I28" s="7">
        <f>SUM(Production_Machine_1_Data_Entry!$J28:$T28)</f>
        <v>0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</row>
    <row r="29" spans="1:20" x14ac:dyDescent="0.25">
      <c r="A29" s="9">
        <f t="shared" ca="1" si="0"/>
        <v>46197</v>
      </c>
      <c r="B29" s="7" t="str">
        <f>_xlfn.XLOOKUP(Production_Machine_1_Data_Entry!$D29, Data_Source!D:D, Data_Source!A:A, "Missing Value")</f>
        <v>C1</v>
      </c>
      <c r="C29" s="7">
        <f>_xlfn.XLOOKUP(Production_Machine_1_Data_Entry!$D29, Data_Source!D:D,Data_Source!C:C, "Missing Value")</f>
        <v>111</v>
      </c>
      <c r="D29" s="7" t="s">
        <v>1</v>
      </c>
      <c r="E29" s="7" t="str">
        <f>_xlfn.XLOOKUP(Production_Machine_1_Data_Entry!$D29,Data_Source!D:D, Data_Source!B:B, "Missing Value")</f>
        <v>BLUE</v>
      </c>
      <c r="F29" s="7" t="str">
        <f>_xlfn.XLOOKUP(Production_Machine_1_Data_Entry!$D29,Data_Source!D:D, Data_Source!E:E, "Missing Value")</f>
        <v>PROJECT ALFA</v>
      </c>
      <c r="G29" s="7"/>
      <c r="H29" s="7">
        <f t="shared" si="1"/>
        <v>0</v>
      </c>
      <c r="I29" s="7">
        <f>SUM(Production_Machine_1_Data_Entry!$J29:$T29)</f>
        <v>0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</row>
    <row r="30" spans="1:20" x14ac:dyDescent="0.25">
      <c r="A30" s="9">
        <f t="shared" ca="1" si="0"/>
        <v>46197</v>
      </c>
      <c r="B30" s="7" t="str">
        <f>_xlfn.XLOOKUP(Production_Machine_1_Data_Entry!$D30, Data_Source!D:D, Data_Source!A:A, "Missing Value")</f>
        <v>C1</v>
      </c>
      <c r="C30" s="7">
        <f>_xlfn.XLOOKUP(Production_Machine_1_Data_Entry!$D30, Data_Source!D:D,Data_Source!C:C, "Missing Value")</f>
        <v>111</v>
      </c>
      <c r="D30" s="7" t="s">
        <v>1</v>
      </c>
      <c r="E30" s="7" t="str">
        <f>_xlfn.XLOOKUP(Production_Machine_1_Data_Entry!$D30,Data_Source!D:D, Data_Source!B:B, "Missing Value")</f>
        <v>BLUE</v>
      </c>
      <c r="F30" s="7" t="str">
        <f>_xlfn.XLOOKUP(Production_Machine_1_Data_Entry!$D30,Data_Source!D:D, Data_Source!E:E, "Missing Value")</f>
        <v>PROJECT ALFA</v>
      </c>
      <c r="G30" s="7"/>
      <c r="H30" s="7">
        <f t="shared" si="1"/>
        <v>0</v>
      </c>
      <c r="I30" s="7">
        <f>SUM(Production_Machine_1_Data_Entry!$J30:$T30)</f>
        <v>0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</row>
    <row r="31" spans="1:20" x14ac:dyDescent="0.25">
      <c r="A31" s="9">
        <f t="shared" ca="1" si="0"/>
        <v>46197</v>
      </c>
      <c r="B31" s="7" t="str">
        <f>_xlfn.XLOOKUP(Production_Machine_1_Data_Entry!$D31, Data_Source!D:D, Data_Source!A:A, "Missing Value")</f>
        <v>C1</v>
      </c>
      <c r="C31" s="7">
        <f>_xlfn.XLOOKUP(Production_Machine_1_Data_Entry!$D31, Data_Source!D:D,Data_Source!C:C, "Missing Value")</f>
        <v>111</v>
      </c>
      <c r="D31" s="7" t="s">
        <v>1</v>
      </c>
      <c r="E31" s="7" t="str">
        <f>_xlfn.XLOOKUP(Production_Machine_1_Data_Entry!$D31,Data_Source!D:D, Data_Source!B:B, "Missing Value")</f>
        <v>BLUE</v>
      </c>
      <c r="F31" s="7" t="str">
        <f>_xlfn.XLOOKUP(Production_Machine_1_Data_Entry!$D31,Data_Source!D:D, Data_Source!E:E, "Missing Value")</f>
        <v>PROJECT ALFA</v>
      </c>
      <c r="G31" s="7"/>
      <c r="H31" s="7">
        <f t="shared" si="1"/>
        <v>0</v>
      </c>
      <c r="I31" s="7">
        <f>SUM(Production_Machine_1_Data_Entry!$J31:$T31)</f>
        <v>0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</row>
    <row r="32" spans="1:20" x14ac:dyDescent="0.25">
      <c r="A32" s="9">
        <f t="shared" ca="1" si="0"/>
        <v>46197</v>
      </c>
      <c r="B32" s="7" t="str">
        <f>_xlfn.XLOOKUP(Production_Machine_1_Data_Entry!$D32, Data_Source!D:D, Data_Source!A:A, "Missing Value")</f>
        <v>C1</v>
      </c>
      <c r="C32" s="7">
        <f>_xlfn.XLOOKUP(Production_Machine_1_Data_Entry!$D32, Data_Source!D:D,Data_Source!C:C, "Missing Value")</f>
        <v>111</v>
      </c>
      <c r="D32" s="7" t="s">
        <v>1</v>
      </c>
      <c r="E32" s="7" t="str">
        <f>_xlfn.XLOOKUP(Production_Machine_1_Data_Entry!$D32,Data_Source!D:D, Data_Source!B:B, "Missing Value")</f>
        <v>BLUE</v>
      </c>
      <c r="F32" s="7" t="str">
        <f>_xlfn.XLOOKUP(Production_Machine_1_Data_Entry!$D32,Data_Source!D:D, Data_Source!E:E, "Missing Value")</f>
        <v>PROJECT ALFA</v>
      </c>
      <c r="G32" s="7"/>
      <c r="H32" s="7">
        <f t="shared" si="1"/>
        <v>0</v>
      </c>
      <c r="I32" s="7">
        <f>SUM(Production_Machine_1_Data_Entry!$J32:$T32)</f>
        <v>0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</row>
    <row r="33" spans="1:20" x14ac:dyDescent="0.25">
      <c r="A33" s="9">
        <f t="shared" ca="1" si="0"/>
        <v>46197</v>
      </c>
      <c r="B33" s="7" t="str">
        <f>_xlfn.XLOOKUP(Production_Machine_1_Data_Entry!$D33, Data_Source!D:D, Data_Source!A:A, "Missing Value")</f>
        <v>C1</v>
      </c>
      <c r="C33" s="7">
        <f>_xlfn.XLOOKUP(Production_Machine_1_Data_Entry!$D33, Data_Source!D:D,Data_Source!C:C, "Missing Value")</f>
        <v>111</v>
      </c>
      <c r="D33" s="7" t="s">
        <v>1</v>
      </c>
      <c r="E33" s="7" t="str">
        <f>_xlfn.XLOOKUP(Production_Machine_1_Data_Entry!$D33,Data_Source!D:D, Data_Source!B:B, "Missing Value")</f>
        <v>BLUE</v>
      </c>
      <c r="F33" s="7" t="str">
        <f>_xlfn.XLOOKUP(Production_Machine_1_Data_Entry!$D33,Data_Source!D:D, Data_Source!E:E, "Missing Value")</f>
        <v>PROJECT ALFA</v>
      </c>
      <c r="G33" s="7"/>
      <c r="H33" s="7">
        <f t="shared" si="1"/>
        <v>0</v>
      </c>
      <c r="I33" s="7">
        <f>SUM(Production_Machine_1_Data_Entry!$J33:$T33)</f>
        <v>0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</row>
    <row r="34" spans="1:20" x14ac:dyDescent="0.25">
      <c r="A34" s="9">
        <f t="shared" ca="1" si="0"/>
        <v>46197</v>
      </c>
      <c r="B34" s="7" t="str">
        <f>_xlfn.XLOOKUP(Production_Machine_1_Data_Entry!$D34, Data_Source!D:D, Data_Source!A:A, "Missing Value")</f>
        <v>C1</v>
      </c>
      <c r="C34" s="7">
        <f>_xlfn.XLOOKUP(Production_Machine_1_Data_Entry!$D34, Data_Source!D:D,Data_Source!C:C, "Missing Value")</f>
        <v>111</v>
      </c>
      <c r="D34" s="7" t="s">
        <v>1</v>
      </c>
      <c r="E34" s="7" t="str">
        <f>_xlfn.XLOOKUP(Production_Machine_1_Data_Entry!$D34,Data_Source!D:D, Data_Source!B:B, "Missing Value")</f>
        <v>BLUE</v>
      </c>
      <c r="F34" s="7" t="str">
        <f>_xlfn.XLOOKUP(Production_Machine_1_Data_Entry!$D34,Data_Source!D:D, Data_Source!E:E, "Missing Value")</f>
        <v>PROJECT ALFA</v>
      </c>
      <c r="G34" s="7"/>
      <c r="H34" s="7">
        <f t="shared" si="1"/>
        <v>0</v>
      </c>
      <c r="I34" s="7">
        <f>SUM(Production_Machine_1_Data_Entry!$J34:$T34)</f>
        <v>0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</row>
    <row r="35" spans="1:20" x14ac:dyDescent="0.25">
      <c r="A35" s="9">
        <f t="shared" ca="1" si="0"/>
        <v>46197</v>
      </c>
      <c r="B35" s="7" t="str">
        <f>_xlfn.XLOOKUP(Production_Machine_1_Data_Entry!$D35, Data_Source!D:D, Data_Source!A:A, "Missing Value")</f>
        <v>C1</v>
      </c>
      <c r="C35" s="7">
        <f>_xlfn.XLOOKUP(Production_Machine_1_Data_Entry!$D35, Data_Source!D:D,Data_Source!C:C, "Missing Value")</f>
        <v>111</v>
      </c>
      <c r="D35" s="7" t="s">
        <v>1</v>
      </c>
      <c r="E35" s="7" t="str">
        <f>_xlfn.XLOOKUP(Production_Machine_1_Data_Entry!$D35,Data_Source!D:D, Data_Source!B:B, "Missing Value")</f>
        <v>BLUE</v>
      </c>
      <c r="F35" s="7" t="str">
        <f>_xlfn.XLOOKUP(Production_Machine_1_Data_Entry!$D35,Data_Source!D:D, Data_Source!E:E, "Missing Value")</f>
        <v>PROJECT ALFA</v>
      </c>
      <c r="G35" s="7"/>
      <c r="H35" s="7">
        <f t="shared" si="1"/>
        <v>0</v>
      </c>
      <c r="I35" s="7">
        <f>SUM(Production_Machine_1_Data_Entry!$J35:$T35)</f>
        <v>0</v>
      </c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</row>
    <row r="36" spans="1:20" x14ac:dyDescent="0.25">
      <c r="A36" s="9">
        <f t="shared" ca="1" si="0"/>
        <v>46197</v>
      </c>
      <c r="B36" s="7" t="str">
        <f>_xlfn.XLOOKUP(Production_Machine_1_Data_Entry!$D36, Data_Source!D:D, Data_Source!A:A, "Missing Value")</f>
        <v>C1</v>
      </c>
      <c r="C36" s="7">
        <f>_xlfn.XLOOKUP(Production_Machine_1_Data_Entry!$D36, Data_Source!D:D,Data_Source!C:C, "Missing Value")</f>
        <v>111</v>
      </c>
      <c r="D36" s="7" t="s">
        <v>1</v>
      </c>
      <c r="E36" s="7" t="str">
        <f>_xlfn.XLOOKUP(Production_Machine_1_Data_Entry!$D36,Data_Source!D:D, Data_Source!B:B, "Missing Value")</f>
        <v>BLUE</v>
      </c>
      <c r="F36" s="7" t="str">
        <f>_xlfn.XLOOKUP(Production_Machine_1_Data_Entry!$D36,Data_Source!D:D, Data_Source!E:E, "Missing Value")</f>
        <v>PROJECT ALFA</v>
      </c>
      <c r="G36" s="7"/>
      <c r="H36" s="7">
        <f t="shared" si="1"/>
        <v>0</v>
      </c>
      <c r="I36" s="7">
        <f>SUM(Production_Machine_1_Data_Entry!$J36:$T36)</f>
        <v>0</v>
      </c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</row>
    <row r="37" spans="1:20" x14ac:dyDescent="0.25">
      <c r="A37" s="9">
        <f t="shared" ca="1" si="0"/>
        <v>46197</v>
      </c>
      <c r="B37" s="7" t="str">
        <f>_xlfn.XLOOKUP(Production_Machine_1_Data_Entry!$D37, Data_Source!D:D, Data_Source!A:A, "Missing Value")</f>
        <v>C1</v>
      </c>
      <c r="C37" s="7">
        <f>_xlfn.XLOOKUP(Production_Machine_1_Data_Entry!$D37, Data_Source!D:D,Data_Source!C:C, "Missing Value")</f>
        <v>111</v>
      </c>
      <c r="D37" s="7" t="s">
        <v>1</v>
      </c>
      <c r="E37" s="7" t="str">
        <f>_xlfn.XLOOKUP(Production_Machine_1_Data_Entry!$D37,Data_Source!D:D, Data_Source!B:B, "Missing Value")</f>
        <v>BLUE</v>
      </c>
      <c r="F37" s="7" t="str">
        <f>_xlfn.XLOOKUP(Production_Machine_1_Data_Entry!$D37,Data_Source!D:D, Data_Source!E:E, "Missing Value")</f>
        <v>PROJECT ALFA</v>
      </c>
      <c r="G37" s="7"/>
      <c r="H37" s="7">
        <f t="shared" si="1"/>
        <v>0</v>
      </c>
      <c r="I37" s="7">
        <f>SUM(Production_Machine_1_Data_Entry!$J37:$T37)</f>
        <v>0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</row>
    <row r="38" spans="1:20" x14ac:dyDescent="0.25">
      <c r="A38" s="9">
        <f t="shared" ca="1" si="0"/>
        <v>46197</v>
      </c>
      <c r="B38" s="7" t="str">
        <f>_xlfn.XLOOKUP(Production_Machine_1_Data_Entry!$D38, Data_Source!D:D, Data_Source!A:A, "Missing Value")</f>
        <v>C1</v>
      </c>
      <c r="C38" s="7">
        <f>_xlfn.XLOOKUP(Production_Machine_1_Data_Entry!$D38, Data_Source!D:D,Data_Source!C:C, "Missing Value")</f>
        <v>111</v>
      </c>
      <c r="D38" s="7" t="s">
        <v>1</v>
      </c>
      <c r="E38" s="7" t="str">
        <f>_xlfn.XLOOKUP(Production_Machine_1_Data_Entry!$D38,Data_Source!D:D, Data_Source!B:B, "Missing Value")</f>
        <v>BLUE</v>
      </c>
      <c r="F38" s="7" t="str">
        <f>_xlfn.XLOOKUP(Production_Machine_1_Data_Entry!$D38,Data_Source!D:D, Data_Source!E:E, "Missing Value")</f>
        <v>PROJECT ALFA</v>
      </c>
      <c r="G38" s="7"/>
      <c r="H38" s="7">
        <f t="shared" si="1"/>
        <v>0</v>
      </c>
      <c r="I38" s="7">
        <f>SUM(Production_Machine_1_Data_Entry!$J38:$T38)</f>
        <v>0</v>
      </c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</row>
    <row r="39" spans="1:20" x14ac:dyDescent="0.25">
      <c r="A39" s="9">
        <f t="shared" ca="1" si="0"/>
        <v>46197</v>
      </c>
      <c r="B39" s="7" t="str">
        <f>_xlfn.XLOOKUP(Production_Machine_1_Data_Entry!$D39, Data_Source!D:D, Data_Source!A:A, "Missing Value")</f>
        <v>C1</v>
      </c>
      <c r="C39" s="7">
        <f>_xlfn.XLOOKUP(Production_Machine_1_Data_Entry!$D39, Data_Source!D:D,Data_Source!C:C, "Missing Value")</f>
        <v>111</v>
      </c>
      <c r="D39" s="7" t="s">
        <v>1</v>
      </c>
      <c r="E39" s="7" t="str">
        <f>_xlfn.XLOOKUP(Production_Machine_1_Data_Entry!$D39,Data_Source!D:D, Data_Source!B:B, "Missing Value")</f>
        <v>BLUE</v>
      </c>
      <c r="F39" s="7" t="str">
        <f>_xlfn.XLOOKUP(Production_Machine_1_Data_Entry!$D39,Data_Source!D:D, Data_Source!E:E, "Missing Value")</f>
        <v>PROJECT ALFA</v>
      </c>
      <c r="G39" s="7"/>
      <c r="H39" s="7">
        <f t="shared" si="1"/>
        <v>0</v>
      </c>
      <c r="I39" s="7">
        <f>SUM(Production_Machine_1_Data_Entry!$J39:$T39)</f>
        <v>0</v>
      </c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</row>
    <row r="40" spans="1:20" x14ac:dyDescent="0.25">
      <c r="A40" s="9">
        <f t="shared" ca="1" si="0"/>
        <v>46197</v>
      </c>
      <c r="B40" s="7" t="str">
        <f>_xlfn.XLOOKUP(Production_Machine_1_Data_Entry!$D40, Data_Source!D:D, Data_Source!A:A, "Missing Value")</f>
        <v>C1</v>
      </c>
      <c r="C40" s="7">
        <f>_xlfn.XLOOKUP(Production_Machine_1_Data_Entry!$D40, Data_Source!D:D,Data_Source!C:C, "Missing Value")</f>
        <v>111</v>
      </c>
      <c r="D40" s="7" t="s">
        <v>1</v>
      </c>
      <c r="E40" s="7" t="str">
        <f>_xlfn.XLOOKUP(Production_Machine_1_Data_Entry!$D40,Data_Source!D:D, Data_Source!B:B, "Missing Value")</f>
        <v>BLUE</v>
      </c>
      <c r="F40" s="7" t="str">
        <f>_xlfn.XLOOKUP(Production_Machine_1_Data_Entry!$D40,Data_Source!D:D, Data_Source!E:E, "Missing Value")</f>
        <v>PROJECT ALFA</v>
      </c>
      <c r="G40" s="7"/>
      <c r="H40" s="7">
        <f t="shared" si="1"/>
        <v>0</v>
      </c>
      <c r="I40" s="7">
        <f>SUM(Production_Machine_1_Data_Entry!$J40:$T40)</f>
        <v>0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</row>
    <row r="41" spans="1:20" x14ac:dyDescent="0.25">
      <c r="A41" s="9">
        <f t="shared" ca="1" si="0"/>
        <v>46197</v>
      </c>
      <c r="B41" s="7" t="str">
        <f>_xlfn.XLOOKUP(Production_Machine_1_Data_Entry!$D41, Data_Source!D:D, Data_Source!A:A, "Missing Value")</f>
        <v>C1</v>
      </c>
      <c r="C41" s="7">
        <f>_xlfn.XLOOKUP(Production_Machine_1_Data_Entry!$D41, Data_Source!D:D,Data_Source!C:C, "Missing Value")</f>
        <v>111</v>
      </c>
      <c r="D41" s="7" t="s">
        <v>1</v>
      </c>
      <c r="E41" s="7" t="str">
        <f>_xlfn.XLOOKUP(Production_Machine_1_Data_Entry!$D41,Data_Source!D:D, Data_Source!B:B, "Missing Value")</f>
        <v>BLUE</v>
      </c>
      <c r="F41" s="7" t="str">
        <f>_xlfn.XLOOKUP(Production_Machine_1_Data_Entry!$D41,Data_Source!D:D, Data_Source!E:E, "Missing Value")</f>
        <v>PROJECT ALFA</v>
      </c>
      <c r="G41" s="7"/>
      <c r="H41" s="7">
        <f t="shared" si="1"/>
        <v>0</v>
      </c>
      <c r="I41" s="7">
        <f>SUM(Production_Machine_1_Data_Entry!$J41:$T41)</f>
        <v>0</v>
      </c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</row>
    <row r="42" spans="1:20" x14ac:dyDescent="0.25">
      <c r="A42" s="9">
        <f t="shared" ca="1" si="0"/>
        <v>46197</v>
      </c>
      <c r="B42" s="7" t="str">
        <f>_xlfn.XLOOKUP(Production_Machine_1_Data_Entry!$D42, Data_Source!D:D, Data_Source!A:A, "Missing Value")</f>
        <v>C1</v>
      </c>
      <c r="C42" s="7">
        <f>_xlfn.XLOOKUP(Production_Machine_1_Data_Entry!$D42, Data_Source!D:D,Data_Source!C:C, "Missing Value")</f>
        <v>111</v>
      </c>
      <c r="D42" s="7" t="s">
        <v>1</v>
      </c>
      <c r="E42" s="7" t="str">
        <f>_xlfn.XLOOKUP(Production_Machine_1_Data_Entry!$D42,Data_Source!D:D, Data_Source!B:B, "Missing Value")</f>
        <v>BLUE</v>
      </c>
      <c r="F42" s="7" t="str">
        <f>_xlfn.XLOOKUP(Production_Machine_1_Data_Entry!$D42,Data_Source!D:D, Data_Source!E:E, "Missing Value")</f>
        <v>PROJECT ALFA</v>
      </c>
      <c r="G42" s="7"/>
      <c r="H42" s="7">
        <f t="shared" si="1"/>
        <v>0</v>
      </c>
      <c r="I42" s="7">
        <f>SUM(Production_Machine_1_Data_Entry!$J42:$T42)</f>
        <v>0</v>
      </c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</row>
    <row r="43" spans="1:20" x14ac:dyDescent="0.25">
      <c r="A43" s="9">
        <f t="shared" ca="1" si="0"/>
        <v>46197</v>
      </c>
      <c r="B43" s="7" t="str">
        <f>_xlfn.XLOOKUP(Production_Machine_1_Data_Entry!$D43, Data_Source!D:D, Data_Source!A:A, "Missing Value")</f>
        <v>C1</v>
      </c>
      <c r="C43" s="7">
        <f>_xlfn.XLOOKUP(Production_Machine_1_Data_Entry!$D43, Data_Source!D:D,Data_Source!C:C, "Missing Value")</f>
        <v>111</v>
      </c>
      <c r="D43" s="7" t="s">
        <v>1</v>
      </c>
      <c r="E43" s="7" t="str">
        <f>_xlfn.XLOOKUP(Production_Machine_1_Data_Entry!$D43,Data_Source!D:D, Data_Source!B:B, "Missing Value")</f>
        <v>BLUE</v>
      </c>
      <c r="F43" s="7" t="str">
        <f>_xlfn.XLOOKUP(Production_Machine_1_Data_Entry!$D43,Data_Source!D:D, Data_Source!E:E, "Missing Value")</f>
        <v>PROJECT ALFA</v>
      </c>
      <c r="G43" s="7"/>
      <c r="H43" s="7">
        <f t="shared" si="1"/>
        <v>0</v>
      </c>
      <c r="I43" s="7">
        <f>SUM(Production_Machine_1_Data_Entry!$J43:$T43)</f>
        <v>0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</row>
    <row r="44" spans="1:20" x14ac:dyDescent="0.25">
      <c r="A44" s="9">
        <f t="shared" ca="1" si="0"/>
        <v>46197</v>
      </c>
      <c r="B44" s="7" t="str">
        <f>_xlfn.XLOOKUP(Production_Machine_1_Data_Entry!$D44, Data_Source!D:D, Data_Source!A:A, "Missing Value")</f>
        <v>C1</v>
      </c>
      <c r="C44" s="7">
        <f>_xlfn.XLOOKUP(Production_Machine_1_Data_Entry!$D44, Data_Source!D:D,Data_Source!C:C, "Missing Value")</f>
        <v>111</v>
      </c>
      <c r="D44" s="7" t="s">
        <v>1</v>
      </c>
      <c r="E44" s="7" t="str">
        <f>_xlfn.XLOOKUP(Production_Machine_1_Data_Entry!$D44,Data_Source!D:D, Data_Source!B:B, "Missing Value")</f>
        <v>BLUE</v>
      </c>
      <c r="F44" s="7" t="str">
        <f>_xlfn.XLOOKUP(Production_Machine_1_Data_Entry!$D44,Data_Source!D:D, Data_Source!E:E, "Missing Value")</f>
        <v>PROJECT ALFA</v>
      </c>
      <c r="G44" s="7"/>
      <c r="H44" s="7">
        <f t="shared" si="1"/>
        <v>0</v>
      </c>
      <c r="I44" s="7">
        <f>SUM(Production_Machine_1_Data_Entry!$J44:$T44)</f>
        <v>0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</row>
    <row r="45" spans="1:20" x14ac:dyDescent="0.25">
      <c r="A45" s="9">
        <f t="shared" ca="1" si="0"/>
        <v>46197</v>
      </c>
      <c r="B45" s="7" t="str">
        <f>_xlfn.XLOOKUP(Production_Machine_1_Data_Entry!$D45, Data_Source!D:D, Data_Source!A:A, "Missing Value")</f>
        <v>C1</v>
      </c>
      <c r="C45" s="7">
        <f>_xlfn.XLOOKUP(Production_Machine_1_Data_Entry!$D45, Data_Source!D:D,Data_Source!C:C, "Missing Value")</f>
        <v>111</v>
      </c>
      <c r="D45" s="7" t="s">
        <v>1</v>
      </c>
      <c r="E45" s="7" t="str">
        <f>_xlfn.XLOOKUP(Production_Machine_1_Data_Entry!$D45,Data_Source!D:D, Data_Source!B:B, "Missing Value")</f>
        <v>BLUE</v>
      </c>
      <c r="F45" s="7" t="str">
        <f>_xlfn.XLOOKUP(Production_Machine_1_Data_Entry!$D45,Data_Source!D:D, Data_Source!E:E, "Missing Value")</f>
        <v>PROJECT ALFA</v>
      </c>
      <c r="G45" s="7"/>
      <c r="H45" s="7">
        <f t="shared" si="1"/>
        <v>0</v>
      </c>
      <c r="I45" s="7">
        <f>SUM(Production_Machine_1_Data_Entry!$J45:$T45)</f>
        <v>0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</row>
    <row r="46" spans="1:20" x14ac:dyDescent="0.25">
      <c r="A46" s="9">
        <f t="shared" ca="1" si="0"/>
        <v>46197</v>
      </c>
      <c r="B46" s="7" t="str">
        <f>_xlfn.XLOOKUP(Production_Machine_1_Data_Entry!$D46, Data_Source!D:D, Data_Source!A:A, "Missing Value")</f>
        <v>C1</v>
      </c>
      <c r="C46" s="7">
        <f>_xlfn.XLOOKUP(Production_Machine_1_Data_Entry!$D46, Data_Source!D:D,Data_Source!C:C, "Missing Value")</f>
        <v>111</v>
      </c>
      <c r="D46" s="7" t="s">
        <v>1</v>
      </c>
      <c r="E46" s="7" t="str">
        <f>_xlfn.XLOOKUP(Production_Machine_1_Data_Entry!$D46,Data_Source!D:D, Data_Source!B:B, "Missing Value")</f>
        <v>BLUE</v>
      </c>
      <c r="F46" s="7" t="str">
        <f>_xlfn.XLOOKUP(Production_Machine_1_Data_Entry!$D46,Data_Source!D:D, Data_Source!E:E, "Missing Value")</f>
        <v>PROJECT ALFA</v>
      </c>
      <c r="G46" s="7"/>
      <c r="H46" s="7">
        <f t="shared" si="1"/>
        <v>0</v>
      </c>
      <c r="I46" s="7">
        <f>SUM(Production_Machine_1_Data_Entry!$J46:$T46)</f>
        <v>0</v>
      </c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</row>
    <row r="47" spans="1:20" x14ac:dyDescent="0.25">
      <c r="A47" s="9">
        <f t="shared" ca="1" si="0"/>
        <v>46197</v>
      </c>
      <c r="B47" s="7" t="str">
        <f>_xlfn.XLOOKUP(Production_Machine_1_Data_Entry!$D47, Data_Source!D:D, Data_Source!A:A, "Missing Value")</f>
        <v>C1</v>
      </c>
      <c r="C47" s="7">
        <f>_xlfn.XLOOKUP(Production_Machine_1_Data_Entry!$D47, Data_Source!D:D,Data_Source!C:C, "Missing Value")</f>
        <v>111</v>
      </c>
      <c r="D47" s="7" t="s">
        <v>1</v>
      </c>
      <c r="E47" s="7" t="str">
        <f>_xlfn.XLOOKUP(Production_Machine_1_Data_Entry!$D47,Data_Source!D:D, Data_Source!B:B, "Missing Value")</f>
        <v>BLUE</v>
      </c>
      <c r="F47" s="7" t="str">
        <f>_xlfn.XLOOKUP(Production_Machine_1_Data_Entry!$D47,Data_Source!D:D, Data_Source!E:E, "Missing Value")</f>
        <v>PROJECT ALFA</v>
      </c>
      <c r="G47" s="7"/>
      <c r="H47" s="7">
        <f t="shared" si="1"/>
        <v>0</v>
      </c>
      <c r="I47" s="7">
        <f>SUM(Production_Machine_1_Data_Entry!$J47:$T47)</f>
        <v>0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</row>
    <row r="48" spans="1:20" x14ac:dyDescent="0.25">
      <c r="A48" s="9">
        <f t="shared" ca="1" si="0"/>
        <v>46197</v>
      </c>
      <c r="B48" s="7" t="str">
        <f>_xlfn.XLOOKUP(Production_Machine_1_Data_Entry!$D48, Data_Source!D:D, Data_Source!A:A, "Missing Value")</f>
        <v>C1</v>
      </c>
      <c r="C48" s="7">
        <f>_xlfn.XLOOKUP(Production_Machine_1_Data_Entry!$D48, Data_Source!D:D,Data_Source!C:C, "Missing Value")</f>
        <v>111</v>
      </c>
      <c r="D48" s="7" t="s">
        <v>1</v>
      </c>
      <c r="E48" s="7" t="str">
        <f>_xlfn.XLOOKUP(Production_Machine_1_Data_Entry!$D48,Data_Source!D:D, Data_Source!B:B, "Missing Value")</f>
        <v>BLUE</v>
      </c>
      <c r="F48" s="7" t="str">
        <f>_xlfn.XLOOKUP(Production_Machine_1_Data_Entry!$D48,Data_Source!D:D, Data_Source!E:E, "Missing Value")</f>
        <v>PROJECT ALFA</v>
      </c>
      <c r="G48" s="7"/>
      <c r="H48" s="7">
        <f t="shared" si="1"/>
        <v>0</v>
      </c>
      <c r="I48" s="7">
        <f>SUM(Production_Machine_1_Data_Entry!$J48:$T48)</f>
        <v>0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</row>
    <row r="49" spans="1:20" x14ac:dyDescent="0.25">
      <c r="A49" s="9">
        <f t="shared" ca="1" si="0"/>
        <v>46197</v>
      </c>
      <c r="B49" s="7" t="str">
        <f>_xlfn.XLOOKUP(Production_Machine_1_Data_Entry!$D49, Data_Source!D:D, Data_Source!A:A, "Missing Value")</f>
        <v>C1</v>
      </c>
      <c r="C49" s="7">
        <f>_xlfn.XLOOKUP(Production_Machine_1_Data_Entry!$D49, Data_Source!D:D,Data_Source!C:C, "Missing Value")</f>
        <v>111</v>
      </c>
      <c r="D49" s="7" t="s">
        <v>1</v>
      </c>
      <c r="E49" s="7" t="str">
        <f>_xlfn.XLOOKUP(Production_Machine_1_Data_Entry!$D49,Data_Source!D:D, Data_Source!B:B, "Missing Value")</f>
        <v>BLUE</v>
      </c>
      <c r="F49" s="7" t="str">
        <f>_xlfn.XLOOKUP(Production_Machine_1_Data_Entry!$D49,Data_Source!D:D, Data_Source!E:E, "Missing Value")</f>
        <v>PROJECT ALFA</v>
      </c>
      <c r="G49" s="7"/>
      <c r="H49" s="7">
        <f t="shared" si="1"/>
        <v>0</v>
      </c>
      <c r="I49" s="7">
        <f>SUM(Production_Machine_1_Data_Entry!$J49:$T49)</f>
        <v>0</v>
      </c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</row>
    <row r="50" spans="1:20" x14ac:dyDescent="0.25">
      <c r="A50" s="9">
        <f t="shared" ca="1" si="0"/>
        <v>46197</v>
      </c>
      <c r="B50" s="7" t="str">
        <f>_xlfn.XLOOKUP(Production_Machine_1_Data_Entry!$D50, Data_Source!D:D, Data_Source!A:A, "Missing Value")</f>
        <v>C1</v>
      </c>
      <c r="C50" s="7">
        <f>_xlfn.XLOOKUP(Production_Machine_1_Data_Entry!$D50, Data_Source!D:D,Data_Source!C:C, "Missing Value")</f>
        <v>111</v>
      </c>
      <c r="D50" s="7" t="s">
        <v>1</v>
      </c>
      <c r="E50" s="7" t="str">
        <f>_xlfn.XLOOKUP(Production_Machine_1_Data_Entry!$D50,Data_Source!D:D, Data_Source!B:B, "Missing Value")</f>
        <v>BLUE</v>
      </c>
      <c r="F50" s="7" t="str">
        <f>_xlfn.XLOOKUP(Production_Machine_1_Data_Entry!$D50,Data_Source!D:D, Data_Source!E:E, "Missing Value")</f>
        <v>PROJECT ALFA</v>
      </c>
      <c r="G50" s="7"/>
      <c r="H50" s="7">
        <f t="shared" si="1"/>
        <v>0</v>
      </c>
      <c r="I50" s="7">
        <f>SUM(Production_Machine_1_Data_Entry!$J50:$T50)</f>
        <v>0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</row>
    <row r="51" spans="1:20" x14ac:dyDescent="0.25">
      <c r="A51" s="9">
        <f t="shared" ca="1" si="0"/>
        <v>46197</v>
      </c>
      <c r="B51" s="7" t="str">
        <f>_xlfn.XLOOKUP(Production_Machine_1_Data_Entry!$D51, Data_Source!D:D, Data_Source!A:A, "Missing Value")</f>
        <v>C1</v>
      </c>
      <c r="C51" s="7">
        <f>_xlfn.XLOOKUP(Production_Machine_1_Data_Entry!$D51, Data_Source!D:D,Data_Source!C:C, "Missing Value")</f>
        <v>111</v>
      </c>
      <c r="D51" s="7" t="s">
        <v>1</v>
      </c>
      <c r="E51" s="7" t="str">
        <f>_xlfn.XLOOKUP(Production_Machine_1_Data_Entry!$D51,Data_Source!D:D, Data_Source!B:B, "Missing Value")</f>
        <v>BLUE</v>
      </c>
      <c r="F51" s="7" t="str">
        <f>_xlfn.XLOOKUP(Production_Machine_1_Data_Entry!$D51,Data_Source!D:D, Data_Source!E:E, "Missing Value")</f>
        <v>PROJECT ALFA</v>
      </c>
      <c r="G51" s="7"/>
      <c r="H51" s="7">
        <f t="shared" si="1"/>
        <v>0</v>
      </c>
      <c r="I51" s="7">
        <f>SUM(Production_Machine_1_Data_Entry!$J51:$T51)</f>
        <v>0</v>
      </c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</row>
    <row r="52" spans="1:20" x14ac:dyDescent="0.25">
      <c r="A52" s="9">
        <f t="shared" ca="1" si="0"/>
        <v>46197</v>
      </c>
      <c r="B52" s="7" t="str">
        <f>_xlfn.XLOOKUP(Production_Machine_1_Data_Entry!$D52, Data_Source!D:D, Data_Source!A:A, "Missing Value")</f>
        <v>C1</v>
      </c>
      <c r="C52" s="7">
        <f>_xlfn.XLOOKUP(Production_Machine_1_Data_Entry!$D52, Data_Source!D:D,Data_Source!C:C, "Missing Value")</f>
        <v>111</v>
      </c>
      <c r="D52" s="7" t="s">
        <v>1</v>
      </c>
      <c r="E52" s="7" t="str">
        <f>_xlfn.XLOOKUP(Production_Machine_1_Data_Entry!$D52,Data_Source!D:D, Data_Source!B:B, "Missing Value")</f>
        <v>BLUE</v>
      </c>
      <c r="F52" s="7" t="str">
        <f>_xlfn.XLOOKUP(Production_Machine_1_Data_Entry!$D52,Data_Source!D:D, Data_Source!E:E, "Missing Value")</f>
        <v>PROJECT ALFA</v>
      </c>
      <c r="G52" s="7"/>
      <c r="H52" s="7">
        <f t="shared" si="1"/>
        <v>0</v>
      </c>
      <c r="I52" s="7">
        <f>SUM(Production_Machine_1_Data_Entry!$J52:$T52)</f>
        <v>0</v>
      </c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</row>
    <row r="53" spans="1:20" x14ac:dyDescent="0.25">
      <c r="A53" s="9">
        <f t="shared" ca="1" si="0"/>
        <v>46197</v>
      </c>
      <c r="B53" s="7" t="str">
        <f>_xlfn.XLOOKUP(Production_Machine_1_Data_Entry!$D53, Data_Source!D:D, Data_Source!A:A, "Missing Value")</f>
        <v>C1</v>
      </c>
      <c r="C53" s="7">
        <f>_xlfn.XLOOKUP(Production_Machine_1_Data_Entry!$D53, Data_Source!D:D,Data_Source!C:C, "Missing Value")</f>
        <v>111</v>
      </c>
      <c r="D53" s="7" t="s">
        <v>1</v>
      </c>
      <c r="E53" s="7" t="str">
        <f>_xlfn.XLOOKUP(Production_Machine_1_Data_Entry!$D53,Data_Source!D:D, Data_Source!B:B, "Missing Value")</f>
        <v>BLUE</v>
      </c>
      <c r="F53" s="7" t="str">
        <f>_xlfn.XLOOKUP(Production_Machine_1_Data_Entry!$D53,Data_Source!D:D, Data_Source!E:E, "Missing Value")</f>
        <v>PROJECT ALFA</v>
      </c>
      <c r="G53" s="7"/>
      <c r="H53" s="7">
        <f t="shared" si="1"/>
        <v>0</v>
      </c>
      <c r="I53" s="7">
        <f>SUM(Production_Machine_1_Data_Entry!$J53:$T53)</f>
        <v>0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</row>
    <row r="54" spans="1:20" x14ac:dyDescent="0.25">
      <c r="A54" s="9">
        <f t="shared" ca="1" si="0"/>
        <v>46197</v>
      </c>
      <c r="B54" s="7" t="str">
        <f>_xlfn.XLOOKUP(Production_Machine_1_Data_Entry!$D54, Data_Source!D:D, Data_Source!A:A, "Missing Value")</f>
        <v>C1</v>
      </c>
      <c r="C54" s="7">
        <f>_xlfn.XLOOKUP(Production_Machine_1_Data_Entry!$D54, Data_Source!D:D,Data_Source!C:C, "Missing Value")</f>
        <v>111</v>
      </c>
      <c r="D54" s="7" t="s">
        <v>1</v>
      </c>
      <c r="E54" s="7" t="str">
        <f>_xlfn.XLOOKUP(Production_Machine_1_Data_Entry!$D54,Data_Source!D:D, Data_Source!B:B, "Missing Value")</f>
        <v>BLUE</v>
      </c>
      <c r="F54" s="7" t="str">
        <f>_xlfn.XLOOKUP(Production_Machine_1_Data_Entry!$D54,Data_Source!D:D, Data_Source!E:E, "Missing Value")</f>
        <v>PROJECT ALFA</v>
      </c>
      <c r="G54" s="7"/>
      <c r="H54" s="7">
        <f t="shared" si="1"/>
        <v>0</v>
      </c>
      <c r="I54" s="7">
        <f>SUM(Production_Machine_1_Data_Entry!$J54:$T54)</f>
        <v>0</v>
      </c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</row>
    <row r="55" spans="1:20" x14ac:dyDescent="0.25">
      <c r="A55" s="9">
        <f t="shared" ca="1" si="0"/>
        <v>46197</v>
      </c>
      <c r="B55" s="7" t="str">
        <f>_xlfn.XLOOKUP(Production_Machine_1_Data_Entry!$D55, Data_Source!D:D, Data_Source!A:A, "Missing Value")</f>
        <v>C1</v>
      </c>
      <c r="C55" s="7">
        <f>_xlfn.XLOOKUP(Production_Machine_1_Data_Entry!$D55, Data_Source!D:D,Data_Source!C:C, "Missing Value")</f>
        <v>111</v>
      </c>
      <c r="D55" s="7" t="s">
        <v>1</v>
      </c>
      <c r="E55" s="7" t="str">
        <f>_xlfn.XLOOKUP(Production_Machine_1_Data_Entry!$D55,Data_Source!D:D, Data_Source!B:B, "Missing Value")</f>
        <v>BLUE</v>
      </c>
      <c r="F55" s="7" t="str">
        <f>_xlfn.XLOOKUP(Production_Machine_1_Data_Entry!$D55,Data_Source!D:D, Data_Source!E:E, "Missing Value")</f>
        <v>PROJECT ALFA</v>
      </c>
      <c r="G55" s="7"/>
      <c r="H55" s="7">
        <f t="shared" si="1"/>
        <v>0</v>
      </c>
      <c r="I55" s="7">
        <f>SUM(Production_Machine_1_Data_Entry!$J55:$T55)</f>
        <v>0</v>
      </c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</row>
    <row r="56" spans="1:20" x14ac:dyDescent="0.25">
      <c r="A56" s="9">
        <f t="shared" ca="1" si="0"/>
        <v>46197</v>
      </c>
      <c r="B56" s="7" t="str">
        <f>_xlfn.XLOOKUP(Production_Machine_1_Data_Entry!$D56, Data_Source!D:D, Data_Source!A:A, "Missing Value")</f>
        <v>C1</v>
      </c>
      <c r="C56" s="7">
        <f>_xlfn.XLOOKUP(Production_Machine_1_Data_Entry!$D56, Data_Source!D:D,Data_Source!C:C, "Missing Value")</f>
        <v>111</v>
      </c>
      <c r="D56" s="7" t="s">
        <v>1</v>
      </c>
      <c r="E56" s="7" t="str">
        <f>_xlfn.XLOOKUP(Production_Machine_1_Data_Entry!$D56,Data_Source!D:D, Data_Source!B:B, "Missing Value")</f>
        <v>BLUE</v>
      </c>
      <c r="F56" s="7" t="str">
        <f>_xlfn.XLOOKUP(Production_Machine_1_Data_Entry!$D56,Data_Source!D:D, Data_Source!E:E, "Missing Value")</f>
        <v>PROJECT ALFA</v>
      </c>
      <c r="G56" s="7"/>
      <c r="H56" s="7">
        <f t="shared" si="1"/>
        <v>0</v>
      </c>
      <c r="I56" s="7">
        <f>SUM(Production_Machine_1_Data_Entry!$J56:$T56)</f>
        <v>0</v>
      </c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</row>
    <row r="57" spans="1:20" x14ac:dyDescent="0.25">
      <c r="A57" s="9">
        <f t="shared" ca="1" si="0"/>
        <v>46197</v>
      </c>
      <c r="B57" s="7" t="str">
        <f>_xlfn.XLOOKUP(Production_Machine_1_Data_Entry!$D57, Data_Source!D:D, Data_Source!A:A, "Missing Value")</f>
        <v>C1</v>
      </c>
      <c r="C57" s="7">
        <f>_xlfn.XLOOKUP(Production_Machine_1_Data_Entry!$D57, Data_Source!D:D,Data_Source!C:C, "Missing Value")</f>
        <v>111</v>
      </c>
      <c r="D57" s="7" t="s">
        <v>1</v>
      </c>
      <c r="E57" s="7" t="str">
        <f>_xlfn.XLOOKUP(Production_Machine_1_Data_Entry!$D57,Data_Source!D:D, Data_Source!B:B, "Missing Value")</f>
        <v>BLUE</v>
      </c>
      <c r="F57" s="7" t="str">
        <f>_xlfn.XLOOKUP(Production_Machine_1_Data_Entry!$D57,Data_Source!D:D, Data_Source!E:E, "Missing Value")</f>
        <v>PROJECT ALFA</v>
      </c>
      <c r="G57" s="7"/>
      <c r="H57" s="7">
        <f t="shared" si="1"/>
        <v>0</v>
      </c>
      <c r="I57" s="7">
        <f>SUM(Production_Machine_1_Data_Entry!$J57:$T57)</f>
        <v>0</v>
      </c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</row>
    <row r="58" spans="1:20" x14ac:dyDescent="0.25">
      <c r="A58" s="9">
        <f t="shared" ca="1" si="0"/>
        <v>46197</v>
      </c>
      <c r="B58" s="7" t="str">
        <f>_xlfn.XLOOKUP(Production_Machine_1_Data_Entry!$D58, Data_Source!D:D, Data_Source!A:A, "Missing Value")</f>
        <v>C1</v>
      </c>
      <c r="C58" s="7">
        <f>_xlfn.XLOOKUP(Production_Machine_1_Data_Entry!$D58, Data_Source!D:D,Data_Source!C:C, "Missing Value")</f>
        <v>111</v>
      </c>
      <c r="D58" s="7" t="s">
        <v>1</v>
      </c>
      <c r="E58" s="7" t="str">
        <f>_xlfn.XLOOKUP(Production_Machine_1_Data_Entry!$D58,Data_Source!D:D, Data_Source!B:B, "Missing Value")</f>
        <v>BLUE</v>
      </c>
      <c r="F58" s="7" t="str">
        <f>_xlfn.XLOOKUP(Production_Machine_1_Data_Entry!$D58,Data_Source!D:D, Data_Source!E:E, "Missing Value")</f>
        <v>PROJECT ALFA</v>
      </c>
      <c r="G58" s="7"/>
      <c r="H58" s="7">
        <f t="shared" si="1"/>
        <v>0</v>
      </c>
      <c r="I58" s="7">
        <f>SUM(Production_Machine_1_Data_Entry!$J58:$T58)</f>
        <v>0</v>
      </c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</row>
    <row r="59" spans="1:20" x14ac:dyDescent="0.25">
      <c r="A59" s="9">
        <f t="shared" ca="1" si="0"/>
        <v>46197</v>
      </c>
      <c r="B59" s="7" t="str">
        <f>_xlfn.XLOOKUP(Production_Machine_1_Data_Entry!$D59, Data_Source!D:D, Data_Source!A:A, "Missing Value")</f>
        <v>C1</v>
      </c>
      <c r="C59" s="7">
        <f>_xlfn.XLOOKUP(Production_Machine_1_Data_Entry!$D59, Data_Source!D:D,Data_Source!C:C, "Missing Value")</f>
        <v>111</v>
      </c>
      <c r="D59" s="7" t="s">
        <v>1</v>
      </c>
      <c r="E59" s="7" t="str">
        <f>_xlfn.XLOOKUP(Production_Machine_1_Data_Entry!$D59,Data_Source!D:D, Data_Source!B:B, "Missing Value")</f>
        <v>BLUE</v>
      </c>
      <c r="F59" s="7" t="str">
        <f>_xlfn.XLOOKUP(Production_Machine_1_Data_Entry!$D59,Data_Source!D:D, Data_Source!E:E, "Missing Value")</f>
        <v>PROJECT ALFA</v>
      </c>
      <c r="G59" s="7"/>
      <c r="H59" s="7">
        <f t="shared" si="1"/>
        <v>0</v>
      </c>
      <c r="I59" s="7">
        <f>SUM(Production_Machine_1_Data_Entry!$J59:$T59)</f>
        <v>0</v>
      </c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</row>
    <row r="60" spans="1:20" x14ac:dyDescent="0.25">
      <c r="A60" s="9">
        <f t="shared" ca="1" si="0"/>
        <v>46197</v>
      </c>
      <c r="B60" s="7" t="str">
        <f>_xlfn.XLOOKUP(Production_Machine_1_Data_Entry!$D60, Data_Source!D:D, Data_Source!A:A, "Missing Value")</f>
        <v>C1</v>
      </c>
      <c r="C60" s="7">
        <f>_xlfn.XLOOKUP(Production_Machine_1_Data_Entry!$D60, Data_Source!D:D,Data_Source!C:C, "Missing Value")</f>
        <v>111</v>
      </c>
      <c r="D60" s="7" t="s">
        <v>1</v>
      </c>
      <c r="E60" s="7" t="str">
        <f>_xlfn.XLOOKUP(Production_Machine_1_Data_Entry!$D60,Data_Source!D:D, Data_Source!B:B, "Missing Value")</f>
        <v>BLUE</v>
      </c>
      <c r="F60" s="7" t="str">
        <f>_xlfn.XLOOKUP(Production_Machine_1_Data_Entry!$D60,Data_Source!D:D, Data_Source!E:E, "Missing Value")</f>
        <v>PROJECT ALFA</v>
      </c>
      <c r="G60" s="7"/>
      <c r="H60" s="7">
        <f t="shared" si="1"/>
        <v>0</v>
      </c>
      <c r="I60" s="7">
        <f>SUM(Production_Machine_1_Data_Entry!$J60:$T60)</f>
        <v>0</v>
      </c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</row>
    <row r="61" spans="1:20" x14ac:dyDescent="0.25">
      <c r="A61" s="9">
        <f t="shared" ca="1" si="0"/>
        <v>46197</v>
      </c>
      <c r="B61" s="7" t="str">
        <f>_xlfn.XLOOKUP(Production_Machine_1_Data_Entry!$D61, Data_Source!D:D, Data_Source!A:A, "Missing Value")</f>
        <v>C1</v>
      </c>
      <c r="C61" s="7">
        <f>_xlfn.XLOOKUP(Production_Machine_1_Data_Entry!$D61, Data_Source!D:D,Data_Source!C:C, "Missing Value")</f>
        <v>111</v>
      </c>
      <c r="D61" s="7" t="s">
        <v>1</v>
      </c>
      <c r="E61" s="7" t="str">
        <f>_xlfn.XLOOKUP(Production_Machine_1_Data_Entry!$D61,Data_Source!D:D, Data_Source!B:B, "Missing Value")</f>
        <v>BLUE</v>
      </c>
      <c r="F61" s="7" t="str">
        <f>_xlfn.XLOOKUP(Production_Machine_1_Data_Entry!$D61,Data_Source!D:D, Data_Source!E:E, "Missing Value")</f>
        <v>PROJECT ALFA</v>
      </c>
      <c r="G61" s="7"/>
      <c r="H61" s="7">
        <f t="shared" si="1"/>
        <v>0</v>
      </c>
      <c r="I61" s="7">
        <f>SUM(Production_Machine_1_Data_Entry!$J61:$T61)</f>
        <v>0</v>
      </c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</row>
    <row r="62" spans="1:20" x14ac:dyDescent="0.25">
      <c r="A62" s="9">
        <f t="shared" ca="1" si="0"/>
        <v>46197</v>
      </c>
      <c r="B62" s="7" t="str">
        <f>_xlfn.XLOOKUP(Production_Machine_1_Data_Entry!$D62, Data_Source!D:D, Data_Source!A:A, "Missing Value")</f>
        <v>C1</v>
      </c>
      <c r="C62" s="7">
        <f>_xlfn.XLOOKUP(Production_Machine_1_Data_Entry!$D62, Data_Source!D:D,Data_Source!C:C, "Missing Value")</f>
        <v>111</v>
      </c>
      <c r="D62" s="7" t="s">
        <v>1</v>
      </c>
      <c r="E62" s="7" t="str">
        <f>_xlfn.XLOOKUP(Production_Machine_1_Data_Entry!$D62,Data_Source!D:D, Data_Source!B:B, "Missing Value")</f>
        <v>BLUE</v>
      </c>
      <c r="F62" s="7" t="str">
        <f>_xlfn.XLOOKUP(Production_Machine_1_Data_Entry!$D62,Data_Source!D:D, Data_Source!E:E, "Missing Value")</f>
        <v>PROJECT ALFA</v>
      </c>
      <c r="G62" s="7"/>
      <c r="H62" s="7">
        <f t="shared" si="1"/>
        <v>0</v>
      </c>
      <c r="I62" s="7">
        <f>SUM(Production_Machine_1_Data_Entry!$J62:$T62)</f>
        <v>0</v>
      </c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</row>
    <row r="63" spans="1:20" x14ac:dyDescent="0.25">
      <c r="A63" s="9">
        <f t="shared" ca="1" si="0"/>
        <v>46197</v>
      </c>
      <c r="B63" s="7" t="str">
        <f>_xlfn.XLOOKUP(Production_Machine_1_Data_Entry!$D63, Data_Source!D:D, Data_Source!A:A, "Missing Value")</f>
        <v>C1</v>
      </c>
      <c r="C63" s="7">
        <f>_xlfn.XLOOKUP(Production_Machine_1_Data_Entry!$D63, Data_Source!D:D,Data_Source!C:C, "Missing Value")</f>
        <v>111</v>
      </c>
      <c r="D63" s="7" t="s">
        <v>1</v>
      </c>
      <c r="E63" s="7" t="str">
        <f>_xlfn.XLOOKUP(Production_Machine_1_Data_Entry!$D63,Data_Source!D:D, Data_Source!B:B, "Missing Value")</f>
        <v>BLUE</v>
      </c>
      <c r="F63" s="7" t="str">
        <f>_xlfn.XLOOKUP(Production_Machine_1_Data_Entry!$D63,Data_Source!D:D, Data_Source!E:E, "Missing Value")</f>
        <v>PROJECT ALFA</v>
      </c>
      <c r="G63" s="7"/>
      <c r="H63" s="7">
        <f t="shared" si="1"/>
        <v>0</v>
      </c>
      <c r="I63" s="7">
        <f>SUM(Production_Machine_1_Data_Entry!$J63:$T63)</f>
        <v>0</v>
      </c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</row>
    <row r="64" spans="1:20" x14ac:dyDescent="0.25">
      <c r="A64" s="9">
        <f t="shared" ca="1" si="0"/>
        <v>46197</v>
      </c>
      <c r="B64" s="7" t="str">
        <f>_xlfn.XLOOKUP(Production_Machine_1_Data_Entry!$D64, Data_Source!D:D, Data_Source!A:A, "Missing Value")</f>
        <v>C1</v>
      </c>
      <c r="C64" s="7">
        <f>_xlfn.XLOOKUP(Production_Machine_1_Data_Entry!$D64, Data_Source!D:D,Data_Source!C:C, "Missing Value")</f>
        <v>111</v>
      </c>
      <c r="D64" s="7" t="s">
        <v>1</v>
      </c>
      <c r="E64" s="7" t="str">
        <f>_xlfn.XLOOKUP(Production_Machine_1_Data_Entry!$D64,Data_Source!D:D, Data_Source!B:B, "Missing Value")</f>
        <v>BLUE</v>
      </c>
      <c r="F64" s="7" t="str">
        <f>_xlfn.XLOOKUP(Production_Machine_1_Data_Entry!$D64,Data_Source!D:D, Data_Source!E:E, "Missing Value")</f>
        <v>PROJECT ALFA</v>
      </c>
      <c r="G64" s="7"/>
      <c r="H64" s="7">
        <f t="shared" si="1"/>
        <v>0</v>
      </c>
      <c r="I64" s="7">
        <f>SUM(Production_Machine_1_Data_Entry!$J64:$T64)</f>
        <v>0</v>
      </c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</row>
    <row r="65" spans="1:20" x14ac:dyDescent="0.25">
      <c r="A65" s="9">
        <f t="shared" ca="1" si="0"/>
        <v>46197</v>
      </c>
      <c r="B65" s="7" t="str">
        <f>_xlfn.XLOOKUP(Production_Machine_1_Data_Entry!$D65, Data_Source!D:D, Data_Source!A:A, "Missing Value")</f>
        <v>C1</v>
      </c>
      <c r="C65" s="7">
        <f>_xlfn.XLOOKUP(Production_Machine_1_Data_Entry!$D65, Data_Source!D:D,Data_Source!C:C, "Missing Value")</f>
        <v>111</v>
      </c>
      <c r="D65" s="7" t="s">
        <v>1</v>
      </c>
      <c r="E65" s="7" t="str">
        <f>_xlfn.XLOOKUP(Production_Machine_1_Data_Entry!$D65,Data_Source!D:D, Data_Source!B:B, "Missing Value")</f>
        <v>BLUE</v>
      </c>
      <c r="F65" s="7" t="str">
        <f>_xlfn.XLOOKUP(Production_Machine_1_Data_Entry!$D65,Data_Source!D:D, Data_Source!E:E, "Missing Value")</f>
        <v>PROJECT ALFA</v>
      </c>
      <c r="G65" s="7"/>
      <c r="H65" s="7">
        <f t="shared" si="1"/>
        <v>0</v>
      </c>
      <c r="I65" s="7">
        <f>SUM(Production_Machine_1_Data_Entry!$J65:$T65)</f>
        <v>0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</row>
    <row r="66" spans="1:20" x14ac:dyDescent="0.25">
      <c r="A66" s="9">
        <f t="shared" ca="1" si="0"/>
        <v>46197</v>
      </c>
      <c r="B66" s="7" t="str">
        <f>_xlfn.XLOOKUP(Production_Machine_1_Data_Entry!$D66, Data_Source!D:D, Data_Source!A:A, "Missing Value")</f>
        <v>C1</v>
      </c>
      <c r="C66" s="7">
        <f>_xlfn.XLOOKUP(Production_Machine_1_Data_Entry!$D66, Data_Source!D:D,Data_Source!C:C, "Missing Value")</f>
        <v>111</v>
      </c>
      <c r="D66" s="7" t="s">
        <v>1</v>
      </c>
      <c r="E66" s="7" t="str">
        <f>_xlfn.XLOOKUP(Production_Machine_1_Data_Entry!$D66,Data_Source!D:D, Data_Source!B:B, "Missing Value")</f>
        <v>BLUE</v>
      </c>
      <c r="F66" s="7" t="str">
        <f>_xlfn.XLOOKUP(Production_Machine_1_Data_Entry!$D66,Data_Source!D:D, Data_Source!E:E, "Missing Value")</f>
        <v>PROJECT ALFA</v>
      </c>
      <c r="G66" s="7"/>
      <c r="H66" s="7">
        <f t="shared" si="1"/>
        <v>0</v>
      </c>
      <c r="I66" s="7">
        <f>SUM(Production_Machine_1_Data_Entry!$J66:$T66)</f>
        <v>0</v>
      </c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</row>
    <row r="67" spans="1:20" x14ac:dyDescent="0.25">
      <c r="A67" s="9">
        <f t="shared" ref="A67:A130" ca="1" si="2">TODAY()</f>
        <v>46197</v>
      </c>
      <c r="B67" s="7" t="str">
        <f>_xlfn.XLOOKUP(Production_Machine_1_Data_Entry!$D67, Data_Source!D:D, Data_Source!A:A, "Missing Value")</f>
        <v>C1</v>
      </c>
      <c r="C67" s="7">
        <f>_xlfn.XLOOKUP(Production_Machine_1_Data_Entry!$D67, Data_Source!D:D,Data_Source!C:C, "Missing Value")</f>
        <v>111</v>
      </c>
      <c r="D67" s="7" t="s">
        <v>1</v>
      </c>
      <c r="E67" s="7" t="str">
        <f>_xlfn.XLOOKUP(Production_Machine_1_Data_Entry!$D67,Data_Source!D:D, Data_Source!B:B, "Missing Value")</f>
        <v>BLUE</v>
      </c>
      <c r="F67" s="7" t="str">
        <f>_xlfn.XLOOKUP(Production_Machine_1_Data_Entry!$D67,Data_Source!D:D, Data_Source!E:E, "Missing Value")</f>
        <v>PROJECT ALFA</v>
      </c>
      <c r="G67" s="7"/>
      <c r="H67" s="7">
        <f t="shared" ref="H67:H130" si="3">G67-I67</f>
        <v>0</v>
      </c>
      <c r="I67" s="7">
        <f>SUM(Production_Machine_1_Data_Entry!$J67:$T67)</f>
        <v>0</v>
      </c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</row>
    <row r="68" spans="1:20" x14ac:dyDescent="0.25">
      <c r="A68" s="9">
        <f t="shared" ca="1" si="2"/>
        <v>46197</v>
      </c>
      <c r="B68" s="7" t="str">
        <f>_xlfn.XLOOKUP(Production_Machine_1_Data_Entry!$D68, Data_Source!D:D, Data_Source!A:A, "Missing Value")</f>
        <v>C1</v>
      </c>
      <c r="C68" s="7">
        <f>_xlfn.XLOOKUP(Production_Machine_1_Data_Entry!$D68, Data_Source!D:D,Data_Source!C:C, "Missing Value")</f>
        <v>111</v>
      </c>
      <c r="D68" s="7" t="s">
        <v>1</v>
      </c>
      <c r="E68" s="7" t="str">
        <f>_xlfn.XLOOKUP(Production_Machine_1_Data_Entry!$D68,Data_Source!D:D, Data_Source!B:B, "Missing Value")</f>
        <v>BLUE</v>
      </c>
      <c r="F68" s="7" t="str">
        <f>_xlfn.XLOOKUP(Production_Machine_1_Data_Entry!$D68,Data_Source!D:D, Data_Source!E:E, "Missing Value")</f>
        <v>PROJECT ALFA</v>
      </c>
      <c r="G68" s="7"/>
      <c r="H68" s="7">
        <f t="shared" si="3"/>
        <v>0</v>
      </c>
      <c r="I68" s="7">
        <f>SUM(Production_Machine_1_Data_Entry!$J68:$T68)</f>
        <v>0</v>
      </c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</row>
    <row r="69" spans="1:20" x14ac:dyDescent="0.25">
      <c r="A69" s="9">
        <f t="shared" ca="1" si="2"/>
        <v>46197</v>
      </c>
      <c r="B69" s="7" t="str">
        <f>_xlfn.XLOOKUP(Production_Machine_1_Data_Entry!$D69, Data_Source!D:D, Data_Source!A:A, "Missing Value")</f>
        <v>C1</v>
      </c>
      <c r="C69" s="7">
        <f>_xlfn.XLOOKUP(Production_Machine_1_Data_Entry!$D69, Data_Source!D:D,Data_Source!C:C, "Missing Value")</f>
        <v>111</v>
      </c>
      <c r="D69" s="7" t="s">
        <v>1</v>
      </c>
      <c r="E69" s="7" t="str">
        <f>_xlfn.XLOOKUP(Production_Machine_1_Data_Entry!$D69,Data_Source!D:D, Data_Source!B:B, "Missing Value")</f>
        <v>BLUE</v>
      </c>
      <c r="F69" s="7" t="str">
        <f>_xlfn.XLOOKUP(Production_Machine_1_Data_Entry!$D69,Data_Source!D:D, Data_Source!E:E, "Missing Value")</f>
        <v>PROJECT ALFA</v>
      </c>
      <c r="G69" s="7"/>
      <c r="H69" s="7">
        <f t="shared" si="3"/>
        <v>0</v>
      </c>
      <c r="I69" s="7">
        <f>SUM(Production_Machine_1_Data_Entry!$J69:$T69)</f>
        <v>0</v>
      </c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</row>
    <row r="70" spans="1:20" x14ac:dyDescent="0.25">
      <c r="A70" s="9">
        <f t="shared" ca="1" si="2"/>
        <v>46197</v>
      </c>
      <c r="B70" s="7" t="str">
        <f>_xlfn.XLOOKUP(Production_Machine_1_Data_Entry!$D70, Data_Source!D:D, Data_Source!A:A, "Missing Value")</f>
        <v>C1</v>
      </c>
      <c r="C70" s="7">
        <f>_xlfn.XLOOKUP(Production_Machine_1_Data_Entry!$D70, Data_Source!D:D,Data_Source!C:C, "Missing Value")</f>
        <v>111</v>
      </c>
      <c r="D70" s="7" t="s">
        <v>1</v>
      </c>
      <c r="E70" s="7" t="str">
        <f>_xlfn.XLOOKUP(Production_Machine_1_Data_Entry!$D70,Data_Source!D:D, Data_Source!B:B, "Missing Value")</f>
        <v>BLUE</v>
      </c>
      <c r="F70" s="7" t="str">
        <f>_xlfn.XLOOKUP(Production_Machine_1_Data_Entry!$D70,Data_Source!D:D, Data_Source!E:E, "Missing Value")</f>
        <v>PROJECT ALFA</v>
      </c>
      <c r="G70" s="7"/>
      <c r="H70" s="7">
        <f t="shared" si="3"/>
        <v>0</v>
      </c>
      <c r="I70" s="7">
        <f>SUM(Production_Machine_1_Data_Entry!$J70:$T70)</f>
        <v>0</v>
      </c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</row>
    <row r="71" spans="1:20" x14ac:dyDescent="0.25">
      <c r="A71" s="9">
        <f t="shared" ca="1" si="2"/>
        <v>46197</v>
      </c>
      <c r="B71" s="7" t="str">
        <f>_xlfn.XLOOKUP(Production_Machine_1_Data_Entry!$D71, Data_Source!D:D, Data_Source!A:A, "Missing Value")</f>
        <v>C1</v>
      </c>
      <c r="C71" s="7">
        <f>_xlfn.XLOOKUP(Production_Machine_1_Data_Entry!$D71, Data_Source!D:D,Data_Source!C:C, "Missing Value")</f>
        <v>111</v>
      </c>
      <c r="D71" s="7" t="s">
        <v>1</v>
      </c>
      <c r="E71" s="7" t="str">
        <f>_xlfn.XLOOKUP(Production_Machine_1_Data_Entry!$D71,Data_Source!D:D, Data_Source!B:B, "Missing Value")</f>
        <v>BLUE</v>
      </c>
      <c r="F71" s="7" t="str">
        <f>_xlfn.XLOOKUP(Production_Machine_1_Data_Entry!$D71,Data_Source!D:D, Data_Source!E:E, "Missing Value")</f>
        <v>PROJECT ALFA</v>
      </c>
      <c r="G71" s="7"/>
      <c r="H71" s="7">
        <f t="shared" si="3"/>
        <v>0</v>
      </c>
      <c r="I71" s="7">
        <f>SUM(Production_Machine_1_Data_Entry!$J71:$T71)</f>
        <v>0</v>
      </c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</row>
    <row r="72" spans="1:20" x14ac:dyDescent="0.25">
      <c r="A72" s="9">
        <f t="shared" ca="1" si="2"/>
        <v>46197</v>
      </c>
      <c r="B72" s="7" t="str">
        <f>_xlfn.XLOOKUP(Production_Machine_1_Data_Entry!$D72, Data_Source!D:D, Data_Source!A:A, "Missing Value")</f>
        <v>C1</v>
      </c>
      <c r="C72" s="7">
        <f>_xlfn.XLOOKUP(Production_Machine_1_Data_Entry!$D72, Data_Source!D:D,Data_Source!C:C, "Missing Value")</f>
        <v>111</v>
      </c>
      <c r="D72" s="7" t="s">
        <v>1</v>
      </c>
      <c r="E72" s="7" t="str">
        <f>_xlfn.XLOOKUP(Production_Machine_1_Data_Entry!$D72,Data_Source!D:D, Data_Source!B:B, "Missing Value")</f>
        <v>BLUE</v>
      </c>
      <c r="F72" s="7" t="str">
        <f>_xlfn.XLOOKUP(Production_Machine_1_Data_Entry!$D72,Data_Source!D:D, Data_Source!E:E, "Missing Value")</f>
        <v>PROJECT ALFA</v>
      </c>
      <c r="G72" s="7"/>
      <c r="H72" s="7">
        <f t="shared" si="3"/>
        <v>0</v>
      </c>
      <c r="I72" s="7">
        <f>SUM(Production_Machine_1_Data_Entry!$J72:$T72)</f>
        <v>0</v>
      </c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</row>
    <row r="73" spans="1:20" x14ac:dyDescent="0.25">
      <c r="A73" s="9">
        <f t="shared" ca="1" si="2"/>
        <v>46197</v>
      </c>
      <c r="B73" s="7" t="str">
        <f>_xlfn.XLOOKUP(Production_Machine_1_Data_Entry!$D73, Data_Source!D:D, Data_Source!A:A, "Missing Value")</f>
        <v>C1</v>
      </c>
      <c r="C73" s="7">
        <f>_xlfn.XLOOKUP(Production_Machine_1_Data_Entry!$D73, Data_Source!D:D,Data_Source!C:C, "Missing Value")</f>
        <v>111</v>
      </c>
      <c r="D73" s="7" t="s">
        <v>1</v>
      </c>
      <c r="E73" s="7" t="str">
        <f>_xlfn.XLOOKUP(Production_Machine_1_Data_Entry!$D73,Data_Source!D:D, Data_Source!B:B, "Missing Value")</f>
        <v>BLUE</v>
      </c>
      <c r="F73" s="7" t="str">
        <f>_xlfn.XLOOKUP(Production_Machine_1_Data_Entry!$D73,Data_Source!D:D, Data_Source!E:E, "Missing Value")</f>
        <v>PROJECT ALFA</v>
      </c>
      <c r="G73" s="7"/>
      <c r="H73" s="7">
        <f t="shared" si="3"/>
        <v>0</v>
      </c>
      <c r="I73" s="7">
        <f>SUM(Production_Machine_1_Data_Entry!$J73:$T73)</f>
        <v>0</v>
      </c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</row>
    <row r="74" spans="1:20" x14ac:dyDescent="0.25">
      <c r="A74" s="9">
        <f t="shared" ca="1" si="2"/>
        <v>46197</v>
      </c>
      <c r="B74" s="7" t="str">
        <f>_xlfn.XLOOKUP(Production_Machine_1_Data_Entry!$D74, Data_Source!D:D, Data_Source!A:A, "Missing Value")</f>
        <v>C1</v>
      </c>
      <c r="C74" s="7">
        <f>_xlfn.XLOOKUP(Production_Machine_1_Data_Entry!$D74, Data_Source!D:D,Data_Source!C:C, "Missing Value")</f>
        <v>111</v>
      </c>
      <c r="D74" s="7" t="s">
        <v>1</v>
      </c>
      <c r="E74" s="7" t="str">
        <f>_xlfn.XLOOKUP(Production_Machine_1_Data_Entry!$D74,Data_Source!D:D, Data_Source!B:B, "Missing Value")</f>
        <v>BLUE</v>
      </c>
      <c r="F74" s="7" t="str">
        <f>_xlfn.XLOOKUP(Production_Machine_1_Data_Entry!$D74,Data_Source!D:D, Data_Source!E:E, "Missing Value")</f>
        <v>PROJECT ALFA</v>
      </c>
      <c r="G74" s="7"/>
      <c r="H74" s="7">
        <f t="shared" si="3"/>
        <v>0</v>
      </c>
      <c r="I74" s="7">
        <f>SUM(Production_Machine_1_Data_Entry!$J74:$T74)</f>
        <v>0</v>
      </c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</row>
    <row r="75" spans="1:20" x14ac:dyDescent="0.25">
      <c r="A75" s="9">
        <f t="shared" ca="1" si="2"/>
        <v>46197</v>
      </c>
      <c r="B75" s="7" t="str">
        <f>_xlfn.XLOOKUP(Production_Machine_1_Data_Entry!$D75, Data_Source!D:D, Data_Source!A:A, "Missing Value")</f>
        <v>C1</v>
      </c>
      <c r="C75" s="7">
        <f>_xlfn.XLOOKUP(Production_Machine_1_Data_Entry!$D75, Data_Source!D:D,Data_Source!C:C, "Missing Value")</f>
        <v>111</v>
      </c>
      <c r="D75" s="7" t="s">
        <v>1</v>
      </c>
      <c r="E75" s="7" t="str">
        <f>_xlfn.XLOOKUP(Production_Machine_1_Data_Entry!$D75,Data_Source!D:D, Data_Source!B:B, "Missing Value")</f>
        <v>BLUE</v>
      </c>
      <c r="F75" s="7" t="str">
        <f>_xlfn.XLOOKUP(Production_Machine_1_Data_Entry!$D75,Data_Source!D:D, Data_Source!E:E, "Missing Value")</f>
        <v>PROJECT ALFA</v>
      </c>
      <c r="G75" s="7"/>
      <c r="H75" s="7">
        <f t="shared" si="3"/>
        <v>0</v>
      </c>
      <c r="I75" s="7">
        <f>SUM(Production_Machine_1_Data_Entry!$J75:$T75)</f>
        <v>0</v>
      </c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</row>
    <row r="76" spans="1:20" x14ac:dyDescent="0.25">
      <c r="A76" s="9">
        <f t="shared" ca="1" si="2"/>
        <v>46197</v>
      </c>
      <c r="B76" s="7" t="str">
        <f>_xlfn.XLOOKUP(Production_Machine_1_Data_Entry!$D76, Data_Source!D:D, Data_Source!A:A, "Missing Value")</f>
        <v>C1</v>
      </c>
      <c r="C76" s="7">
        <f>_xlfn.XLOOKUP(Production_Machine_1_Data_Entry!$D76, Data_Source!D:D,Data_Source!C:C, "Missing Value")</f>
        <v>111</v>
      </c>
      <c r="D76" s="7" t="s">
        <v>1</v>
      </c>
      <c r="E76" s="7" t="str">
        <f>_xlfn.XLOOKUP(Production_Machine_1_Data_Entry!$D76,Data_Source!D:D, Data_Source!B:B, "Missing Value")</f>
        <v>BLUE</v>
      </c>
      <c r="F76" s="7" t="str">
        <f>_xlfn.XLOOKUP(Production_Machine_1_Data_Entry!$D76,Data_Source!D:D, Data_Source!E:E, "Missing Value")</f>
        <v>PROJECT ALFA</v>
      </c>
      <c r="G76" s="7"/>
      <c r="H76" s="7">
        <f t="shared" si="3"/>
        <v>0</v>
      </c>
      <c r="I76" s="7">
        <f>SUM(Production_Machine_1_Data_Entry!$J76:$T76)</f>
        <v>0</v>
      </c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</row>
    <row r="77" spans="1:20" x14ac:dyDescent="0.25">
      <c r="A77" s="9">
        <f t="shared" ca="1" si="2"/>
        <v>46197</v>
      </c>
      <c r="B77" s="7" t="str">
        <f>_xlfn.XLOOKUP(Production_Machine_1_Data_Entry!$D77, Data_Source!D:D, Data_Source!A:A, "Missing Value")</f>
        <v>C1</v>
      </c>
      <c r="C77" s="7">
        <f>_xlfn.XLOOKUP(Production_Machine_1_Data_Entry!$D77, Data_Source!D:D,Data_Source!C:C, "Missing Value")</f>
        <v>111</v>
      </c>
      <c r="D77" s="7" t="s">
        <v>1</v>
      </c>
      <c r="E77" s="7" t="str">
        <f>_xlfn.XLOOKUP(Production_Machine_1_Data_Entry!$D77,Data_Source!D:D, Data_Source!B:B, "Missing Value")</f>
        <v>BLUE</v>
      </c>
      <c r="F77" s="7" t="str">
        <f>_xlfn.XLOOKUP(Production_Machine_1_Data_Entry!$D77,Data_Source!D:D, Data_Source!E:E, "Missing Value")</f>
        <v>PROJECT ALFA</v>
      </c>
      <c r="G77" s="7"/>
      <c r="H77" s="7">
        <f t="shared" si="3"/>
        <v>0</v>
      </c>
      <c r="I77" s="7">
        <f>SUM(Production_Machine_1_Data_Entry!$J77:$T77)</f>
        <v>0</v>
      </c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</row>
    <row r="78" spans="1:20" x14ac:dyDescent="0.25">
      <c r="A78" s="9">
        <f t="shared" ca="1" si="2"/>
        <v>46197</v>
      </c>
      <c r="B78" s="7" t="str">
        <f>_xlfn.XLOOKUP(Production_Machine_1_Data_Entry!$D78, Data_Source!D:D, Data_Source!A:A, "Missing Value")</f>
        <v>C1</v>
      </c>
      <c r="C78" s="7">
        <f>_xlfn.XLOOKUP(Production_Machine_1_Data_Entry!$D78, Data_Source!D:D,Data_Source!C:C, "Missing Value")</f>
        <v>111</v>
      </c>
      <c r="D78" s="7" t="s">
        <v>1</v>
      </c>
      <c r="E78" s="7" t="str">
        <f>_xlfn.XLOOKUP(Production_Machine_1_Data_Entry!$D78,Data_Source!D:D, Data_Source!B:B, "Missing Value")</f>
        <v>BLUE</v>
      </c>
      <c r="F78" s="7" t="str">
        <f>_xlfn.XLOOKUP(Production_Machine_1_Data_Entry!$D78,Data_Source!D:D, Data_Source!E:E, "Missing Value")</f>
        <v>PROJECT ALFA</v>
      </c>
      <c r="G78" s="7"/>
      <c r="H78" s="7">
        <f t="shared" si="3"/>
        <v>0</v>
      </c>
      <c r="I78" s="7">
        <f>SUM(Production_Machine_1_Data_Entry!$J78:$T78)</f>
        <v>0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</row>
    <row r="79" spans="1:20" x14ac:dyDescent="0.25">
      <c r="A79" s="9">
        <f t="shared" ca="1" si="2"/>
        <v>46197</v>
      </c>
      <c r="B79" s="7" t="str">
        <f>_xlfn.XLOOKUP(Production_Machine_1_Data_Entry!$D79, Data_Source!D:D, Data_Source!A:A, "Missing Value")</f>
        <v>C1</v>
      </c>
      <c r="C79" s="7">
        <f>_xlfn.XLOOKUP(Production_Machine_1_Data_Entry!$D79, Data_Source!D:D,Data_Source!C:C, "Missing Value")</f>
        <v>111</v>
      </c>
      <c r="D79" s="7" t="s">
        <v>1</v>
      </c>
      <c r="E79" s="7" t="str">
        <f>_xlfn.XLOOKUP(Production_Machine_1_Data_Entry!$D79,Data_Source!D:D, Data_Source!B:B, "Missing Value")</f>
        <v>BLUE</v>
      </c>
      <c r="F79" s="7" t="str">
        <f>_xlfn.XLOOKUP(Production_Machine_1_Data_Entry!$D79,Data_Source!D:D, Data_Source!E:E, "Missing Value")</f>
        <v>PROJECT ALFA</v>
      </c>
      <c r="G79" s="7"/>
      <c r="H79" s="7">
        <f t="shared" si="3"/>
        <v>0</v>
      </c>
      <c r="I79" s="7">
        <f>SUM(Production_Machine_1_Data_Entry!$J79:$T79)</f>
        <v>0</v>
      </c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</row>
    <row r="80" spans="1:20" x14ac:dyDescent="0.25">
      <c r="A80" s="9">
        <f t="shared" ca="1" si="2"/>
        <v>46197</v>
      </c>
      <c r="B80" s="7" t="str">
        <f>_xlfn.XLOOKUP(Production_Machine_1_Data_Entry!$D80, Data_Source!D:D, Data_Source!A:A, "Missing Value")</f>
        <v>C1</v>
      </c>
      <c r="C80" s="7">
        <f>_xlfn.XLOOKUP(Production_Machine_1_Data_Entry!$D80, Data_Source!D:D,Data_Source!C:C, "Missing Value")</f>
        <v>111</v>
      </c>
      <c r="D80" s="7" t="s">
        <v>1</v>
      </c>
      <c r="E80" s="7" t="str">
        <f>_xlfn.XLOOKUP(Production_Machine_1_Data_Entry!$D80,Data_Source!D:D, Data_Source!B:B, "Missing Value")</f>
        <v>BLUE</v>
      </c>
      <c r="F80" s="7" t="str">
        <f>_xlfn.XLOOKUP(Production_Machine_1_Data_Entry!$D80,Data_Source!D:D, Data_Source!E:E, "Missing Value")</f>
        <v>PROJECT ALFA</v>
      </c>
      <c r="G80" s="7"/>
      <c r="H80" s="7">
        <f t="shared" si="3"/>
        <v>0</v>
      </c>
      <c r="I80" s="7">
        <f>SUM(Production_Machine_1_Data_Entry!$J80:$T80)</f>
        <v>0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</row>
    <row r="81" spans="1:20" x14ac:dyDescent="0.25">
      <c r="A81" s="9">
        <f t="shared" ca="1" si="2"/>
        <v>46197</v>
      </c>
      <c r="B81" s="7" t="str">
        <f>_xlfn.XLOOKUP(Production_Machine_1_Data_Entry!$D81, Data_Source!D:D, Data_Source!A:A, "Missing Value")</f>
        <v>C1</v>
      </c>
      <c r="C81" s="7">
        <f>_xlfn.XLOOKUP(Production_Machine_1_Data_Entry!$D81, Data_Source!D:D,Data_Source!C:C, "Missing Value")</f>
        <v>111</v>
      </c>
      <c r="D81" s="7" t="s">
        <v>1</v>
      </c>
      <c r="E81" s="7" t="str">
        <f>_xlfn.XLOOKUP(Production_Machine_1_Data_Entry!$D81,Data_Source!D:D, Data_Source!B:B, "Missing Value")</f>
        <v>BLUE</v>
      </c>
      <c r="F81" s="7" t="str">
        <f>_xlfn.XLOOKUP(Production_Machine_1_Data_Entry!$D81,Data_Source!D:D, Data_Source!E:E, "Missing Value")</f>
        <v>PROJECT ALFA</v>
      </c>
      <c r="G81" s="7"/>
      <c r="H81" s="7">
        <f t="shared" si="3"/>
        <v>0</v>
      </c>
      <c r="I81" s="7">
        <f>SUM(Production_Machine_1_Data_Entry!$J81:$T81)</f>
        <v>0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</row>
    <row r="82" spans="1:20" x14ac:dyDescent="0.25">
      <c r="A82" s="9">
        <f t="shared" ca="1" si="2"/>
        <v>46197</v>
      </c>
      <c r="B82" s="7" t="str">
        <f>_xlfn.XLOOKUP(Production_Machine_1_Data_Entry!$D82, Data_Source!D:D, Data_Source!A:A, "Missing Value")</f>
        <v>C1</v>
      </c>
      <c r="C82" s="7">
        <f>_xlfn.XLOOKUP(Production_Machine_1_Data_Entry!$D82, Data_Source!D:D,Data_Source!C:C, "Missing Value")</f>
        <v>111</v>
      </c>
      <c r="D82" s="7" t="s">
        <v>1</v>
      </c>
      <c r="E82" s="7" t="str">
        <f>_xlfn.XLOOKUP(Production_Machine_1_Data_Entry!$D82,Data_Source!D:D, Data_Source!B:B, "Missing Value")</f>
        <v>BLUE</v>
      </c>
      <c r="F82" s="7" t="str">
        <f>_xlfn.XLOOKUP(Production_Machine_1_Data_Entry!$D82,Data_Source!D:D, Data_Source!E:E, "Missing Value")</f>
        <v>PROJECT ALFA</v>
      </c>
      <c r="G82" s="7"/>
      <c r="H82" s="7">
        <f t="shared" si="3"/>
        <v>0</v>
      </c>
      <c r="I82" s="7">
        <f>SUM(Production_Machine_1_Data_Entry!$J82:$T82)</f>
        <v>0</v>
      </c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</row>
    <row r="83" spans="1:20" x14ac:dyDescent="0.25">
      <c r="A83" s="9">
        <f t="shared" ca="1" si="2"/>
        <v>46197</v>
      </c>
      <c r="B83" s="7" t="str">
        <f>_xlfn.XLOOKUP(Production_Machine_1_Data_Entry!$D83, Data_Source!D:D, Data_Source!A:A, "Missing Value")</f>
        <v>C1</v>
      </c>
      <c r="C83" s="7">
        <f>_xlfn.XLOOKUP(Production_Machine_1_Data_Entry!$D83, Data_Source!D:D,Data_Source!C:C, "Missing Value")</f>
        <v>111</v>
      </c>
      <c r="D83" s="7" t="s">
        <v>1</v>
      </c>
      <c r="E83" s="7" t="str">
        <f>_xlfn.XLOOKUP(Production_Machine_1_Data_Entry!$D83,Data_Source!D:D, Data_Source!B:B, "Missing Value")</f>
        <v>BLUE</v>
      </c>
      <c r="F83" s="7" t="str">
        <f>_xlfn.XLOOKUP(Production_Machine_1_Data_Entry!$D83,Data_Source!D:D, Data_Source!E:E, "Missing Value")</f>
        <v>PROJECT ALFA</v>
      </c>
      <c r="G83" s="7"/>
      <c r="H83" s="7">
        <f t="shared" si="3"/>
        <v>0</v>
      </c>
      <c r="I83" s="7">
        <f>SUM(Production_Machine_1_Data_Entry!$J83:$T83)</f>
        <v>0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</row>
    <row r="84" spans="1:20" x14ac:dyDescent="0.25">
      <c r="A84" s="9">
        <f t="shared" ca="1" si="2"/>
        <v>46197</v>
      </c>
      <c r="B84" s="7" t="str">
        <f>_xlfn.XLOOKUP(Production_Machine_1_Data_Entry!$D84, Data_Source!D:D, Data_Source!A:A, "Missing Value")</f>
        <v>C1</v>
      </c>
      <c r="C84" s="7">
        <f>_xlfn.XLOOKUP(Production_Machine_1_Data_Entry!$D84, Data_Source!D:D,Data_Source!C:C, "Missing Value")</f>
        <v>111</v>
      </c>
      <c r="D84" s="7" t="s">
        <v>1</v>
      </c>
      <c r="E84" s="7" t="str">
        <f>_xlfn.XLOOKUP(Production_Machine_1_Data_Entry!$D84,Data_Source!D:D, Data_Source!B:B, "Missing Value")</f>
        <v>BLUE</v>
      </c>
      <c r="F84" s="7" t="str">
        <f>_xlfn.XLOOKUP(Production_Machine_1_Data_Entry!$D84,Data_Source!D:D, Data_Source!E:E, "Missing Value")</f>
        <v>PROJECT ALFA</v>
      </c>
      <c r="G84" s="7"/>
      <c r="H84" s="7">
        <f t="shared" si="3"/>
        <v>0</v>
      </c>
      <c r="I84" s="7">
        <f>SUM(Production_Machine_1_Data_Entry!$J84:$T84)</f>
        <v>0</v>
      </c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</row>
    <row r="85" spans="1:20" x14ac:dyDescent="0.25">
      <c r="A85" s="9">
        <f t="shared" ca="1" si="2"/>
        <v>46197</v>
      </c>
      <c r="B85" s="7" t="str">
        <f>_xlfn.XLOOKUP(Production_Machine_1_Data_Entry!$D85, Data_Source!D:D, Data_Source!A:A, "Missing Value")</f>
        <v>C1</v>
      </c>
      <c r="C85" s="7">
        <f>_xlfn.XLOOKUP(Production_Machine_1_Data_Entry!$D85, Data_Source!D:D,Data_Source!C:C, "Missing Value")</f>
        <v>111</v>
      </c>
      <c r="D85" s="7" t="s">
        <v>1</v>
      </c>
      <c r="E85" s="7" t="str">
        <f>_xlfn.XLOOKUP(Production_Machine_1_Data_Entry!$D85,Data_Source!D:D, Data_Source!B:B, "Missing Value")</f>
        <v>BLUE</v>
      </c>
      <c r="F85" s="7" t="str">
        <f>_xlfn.XLOOKUP(Production_Machine_1_Data_Entry!$D85,Data_Source!D:D, Data_Source!E:E, "Missing Value")</f>
        <v>PROJECT ALFA</v>
      </c>
      <c r="G85" s="7"/>
      <c r="H85" s="7">
        <f t="shared" si="3"/>
        <v>0</v>
      </c>
      <c r="I85" s="7">
        <f>SUM(Production_Machine_1_Data_Entry!$J85:$T85)</f>
        <v>0</v>
      </c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</row>
    <row r="86" spans="1:20" x14ac:dyDescent="0.25">
      <c r="A86" s="9">
        <f t="shared" ca="1" si="2"/>
        <v>46197</v>
      </c>
      <c r="B86" s="7" t="str">
        <f>_xlfn.XLOOKUP(Production_Machine_1_Data_Entry!$D86, Data_Source!D:D, Data_Source!A:A, "Missing Value")</f>
        <v>C1</v>
      </c>
      <c r="C86" s="7">
        <f>_xlfn.XLOOKUP(Production_Machine_1_Data_Entry!$D86, Data_Source!D:D,Data_Source!C:C, "Missing Value")</f>
        <v>111</v>
      </c>
      <c r="D86" s="7" t="s">
        <v>1</v>
      </c>
      <c r="E86" s="7" t="str">
        <f>_xlfn.XLOOKUP(Production_Machine_1_Data_Entry!$D86,Data_Source!D:D, Data_Source!B:B, "Missing Value")</f>
        <v>BLUE</v>
      </c>
      <c r="F86" s="7" t="str">
        <f>_xlfn.XLOOKUP(Production_Machine_1_Data_Entry!$D86,Data_Source!D:D, Data_Source!E:E, "Missing Value")</f>
        <v>PROJECT ALFA</v>
      </c>
      <c r="G86" s="7"/>
      <c r="H86" s="7">
        <f t="shared" si="3"/>
        <v>0</v>
      </c>
      <c r="I86" s="7">
        <f>SUM(Production_Machine_1_Data_Entry!$J86:$T86)</f>
        <v>0</v>
      </c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</row>
    <row r="87" spans="1:20" x14ac:dyDescent="0.25">
      <c r="A87" s="9">
        <f t="shared" ca="1" si="2"/>
        <v>46197</v>
      </c>
      <c r="B87" s="7" t="str">
        <f>_xlfn.XLOOKUP(Production_Machine_1_Data_Entry!$D87, Data_Source!D:D, Data_Source!A:A, "Missing Value")</f>
        <v>C1</v>
      </c>
      <c r="C87" s="7">
        <f>_xlfn.XLOOKUP(Production_Machine_1_Data_Entry!$D87, Data_Source!D:D,Data_Source!C:C, "Missing Value")</f>
        <v>111</v>
      </c>
      <c r="D87" s="7" t="s">
        <v>1</v>
      </c>
      <c r="E87" s="7" t="str">
        <f>_xlfn.XLOOKUP(Production_Machine_1_Data_Entry!$D87,Data_Source!D:D, Data_Source!B:B, "Missing Value")</f>
        <v>BLUE</v>
      </c>
      <c r="F87" s="7" t="str">
        <f>_xlfn.XLOOKUP(Production_Machine_1_Data_Entry!$D87,Data_Source!D:D, Data_Source!E:E, "Missing Value")</f>
        <v>PROJECT ALFA</v>
      </c>
      <c r="G87" s="7"/>
      <c r="H87" s="7">
        <f t="shared" si="3"/>
        <v>0</v>
      </c>
      <c r="I87" s="7">
        <f>SUM(Production_Machine_1_Data_Entry!$J87:$T87)</f>
        <v>0</v>
      </c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</row>
    <row r="88" spans="1:20" x14ac:dyDescent="0.25">
      <c r="A88" s="9">
        <f t="shared" ca="1" si="2"/>
        <v>46197</v>
      </c>
      <c r="B88" s="7" t="str">
        <f>_xlfn.XLOOKUP(Production_Machine_1_Data_Entry!$D88, Data_Source!D:D, Data_Source!A:A, "Missing Value")</f>
        <v>C1</v>
      </c>
      <c r="C88" s="7">
        <f>_xlfn.XLOOKUP(Production_Machine_1_Data_Entry!$D88, Data_Source!D:D,Data_Source!C:C, "Missing Value")</f>
        <v>111</v>
      </c>
      <c r="D88" s="7" t="s">
        <v>1</v>
      </c>
      <c r="E88" s="7" t="str">
        <f>_xlfn.XLOOKUP(Production_Machine_1_Data_Entry!$D88,Data_Source!D:D, Data_Source!B:B, "Missing Value")</f>
        <v>BLUE</v>
      </c>
      <c r="F88" s="7" t="str">
        <f>_xlfn.XLOOKUP(Production_Machine_1_Data_Entry!$D88,Data_Source!D:D, Data_Source!E:E, "Missing Value")</f>
        <v>PROJECT ALFA</v>
      </c>
      <c r="G88" s="7"/>
      <c r="H88" s="7">
        <f t="shared" si="3"/>
        <v>0</v>
      </c>
      <c r="I88" s="7">
        <f>SUM(Production_Machine_1_Data_Entry!$J88:$T88)</f>
        <v>0</v>
      </c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</row>
    <row r="89" spans="1:20" x14ac:dyDescent="0.25">
      <c r="A89" s="9">
        <f t="shared" ca="1" si="2"/>
        <v>46197</v>
      </c>
      <c r="B89" s="7" t="str">
        <f>_xlfn.XLOOKUP(Production_Machine_1_Data_Entry!$D89, Data_Source!D:D, Data_Source!A:A, "Missing Value")</f>
        <v>C1</v>
      </c>
      <c r="C89" s="7">
        <f>_xlfn.XLOOKUP(Production_Machine_1_Data_Entry!$D89, Data_Source!D:D,Data_Source!C:C, "Missing Value")</f>
        <v>111</v>
      </c>
      <c r="D89" s="7" t="s">
        <v>1</v>
      </c>
      <c r="E89" s="7" t="str">
        <f>_xlfn.XLOOKUP(Production_Machine_1_Data_Entry!$D89,Data_Source!D:D, Data_Source!B:B, "Missing Value")</f>
        <v>BLUE</v>
      </c>
      <c r="F89" s="7" t="str">
        <f>_xlfn.XLOOKUP(Production_Machine_1_Data_Entry!$D89,Data_Source!D:D, Data_Source!E:E, "Missing Value")</f>
        <v>PROJECT ALFA</v>
      </c>
      <c r="G89" s="7"/>
      <c r="H89" s="7">
        <f t="shared" si="3"/>
        <v>0</v>
      </c>
      <c r="I89" s="7">
        <f>SUM(Production_Machine_1_Data_Entry!$J89:$T89)</f>
        <v>0</v>
      </c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</row>
    <row r="90" spans="1:20" x14ac:dyDescent="0.25">
      <c r="A90" s="9">
        <f t="shared" ca="1" si="2"/>
        <v>46197</v>
      </c>
      <c r="B90" s="7" t="str">
        <f>_xlfn.XLOOKUP(Production_Machine_1_Data_Entry!$D90, Data_Source!D:D, Data_Source!A:A, "Missing Value")</f>
        <v>C1</v>
      </c>
      <c r="C90" s="7">
        <f>_xlfn.XLOOKUP(Production_Machine_1_Data_Entry!$D90, Data_Source!D:D,Data_Source!C:C, "Missing Value")</f>
        <v>111</v>
      </c>
      <c r="D90" s="7" t="s">
        <v>1</v>
      </c>
      <c r="E90" s="7" t="str">
        <f>_xlfn.XLOOKUP(Production_Machine_1_Data_Entry!$D90,Data_Source!D:D, Data_Source!B:B, "Missing Value")</f>
        <v>BLUE</v>
      </c>
      <c r="F90" s="7" t="str">
        <f>_xlfn.XLOOKUP(Production_Machine_1_Data_Entry!$D90,Data_Source!D:D, Data_Source!E:E, "Missing Value")</f>
        <v>PROJECT ALFA</v>
      </c>
      <c r="G90" s="7"/>
      <c r="H90" s="7">
        <f t="shared" si="3"/>
        <v>0</v>
      </c>
      <c r="I90" s="7">
        <f>SUM(Production_Machine_1_Data_Entry!$J90:$T90)</f>
        <v>0</v>
      </c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</row>
    <row r="91" spans="1:20" x14ac:dyDescent="0.25">
      <c r="A91" s="9">
        <f t="shared" ca="1" si="2"/>
        <v>46197</v>
      </c>
      <c r="B91" s="7" t="str">
        <f>_xlfn.XLOOKUP(Production_Machine_1_Data_Entry!$D91, Data_Source!D:D, Data_Source!A:A, "Missing Value")</f>
        <v>C1</v>
      </c>
      <c r="C91" s="7">
        <f>_xlfn.XLOOKUP(Production_Machine_1_Data_Entry!$D91, Data_Source!D:D,Data_Source!C:C, "Missing Value")</f>
        <v>111</v>
      </c>
      <c r="D91" s="7" t="s">
        <v>1</v>
      </c>
      <c r="E91" s="7" t="str">
        <f>_xlfn.XLOOKUP(Production_Machine_1_Data_Entry!$D91,Data_Source!D:D, Data_Source!B:B, "Missing Value")</f>
        <v>BLUE</v>
      </c>
      <c r="F91" s="7" t="str">
        <f>_xlfn.XLOOKUP(Production_Machine_1_Data_Entry!$D91,Data_Source!D:D, Data_Source!E:E, "Missing Value")</f>
        <v>PROJECT ALFA</v>
      </c>
      <c r="G91" s="7"/>
      <c r="H91" s="7">
        <f t="shared" si="3"/>
        <v>0</v>
      </c>
      <c r="I91" s="7">
        <f>SUM(Production_Machine_1_Data_Entry!$J91:$T91)</f>
        <v>0</v>
      </c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</row>
    <row r="92" spans="1:20" x14ac:dyDescent="0.25">
      <c r="A92" s="9">
        <f t="shared" ca="1" si="2"/>
        <v>46197</v>
      </c>
      <c r="B92" s="7" t="str">
        <f>_xlfn.XLOOKUP(Production_Machine_1_Data_Entry!$D92, Data_Source!D:D, Data_Source!A:A, "Missing Value")</f>
        <v>C1</v>
      </c>
      <c r="C92" s="7">
        <f>_xlfn.XLOOKUP(Production_Machine_1_Data_Entry!$D92, Data_Source!D:D,Data_Source!C:C, "Missing Value")</f>
        <v>111</v>
      </c>
      <c r="D92" s="7" t="s">
        <v>1</v>
      </c>
      <c r="E92" s="7" t="str">
        <f>_xlfn.XLOOKUP(Production_Machine_1_Data_Entry!$D92,Data_Source!D:D, Data_Source!B:B, "Missing Value")</f>
        <v>BLUE</v>
      </c>
      <c r="F92" s="7" t="str">
        <f>_xlfn.XLOOKUP(Production_Machine_1_Data_Entry!$D92,Data_Source!D:D, Data_Source!E:E, "Missing Value")</f>
        <v>PROJECT ALFA</v>
      </c>
      <c r="G92" s="7"/>
      <c r="H92" s="7">
        <f t="shared" si="3"/>
        <v>0</v>
      </c>
      <c r="I92" s="7">
        <f>SUM(Production_Machine_1_Data_Entry!$J92:$T92)</f>
        <v>0</v>
      </c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</row>
    <row r="93" spans="1:20" x14ac:dyDescent="0.25">
      <c r="A93" s="9">
        <f t="shared" ca="1" si="2"/>
        <v>46197</v>
      </c>
      <c r="B93" s="7" t="str">
        <f>_xlfn.XLOOKUP(Production_Machine_1_Data_Entry!$D93, Data_Source!D:D, Data_Source!A:A, "Missing Value")</f>
        <v>C1</v>
      </c>
      <c r="C93" s="7">
        <f>_xlfn.XLOOKUP(Production_Machine_1_Data_Entry!$D93, Data_Source!D:D,Data_Source!C:C, "Missing Value")</f>
        <v>111</v>
      </c>
      <c r="D93" s="7" t="s">
        <v>1</v>
      </c>
      <c r="E93" s="7" t="str">
        <f>_xlfn.XLOOKUP(Production_Machine_1_Data_Entry!$D93,Data_Source!D:D, Data_Source!B:B, "Missing Value")</f>
        <v>BLUE</v>
      </c>
      <c r="F93" s="7" t="str">
        <f>_xlfn.XLOOKUP(Production_Machine_1_Data_Entry!$D93,Data_Source!D:D, Data_Source!E:E, "Missing Value")</f>
        <v>PROJECT ALFA</v>
      </c>
      <c r="G93" s="7"/>
      <c r="H93" s="7">
        <f t="shared" si="3"/>
        <v>0</v>
      </c>
      <c r="I93" s="7">
        <f>SUM(Production_Machine_1_Data_Entry!$J93:$T93)</f>
        <v>0</v>
      </c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</row>
    <row r="94" spans="1:20" x14ac:dyDescent="0.25">
      <c r="A94" s="9">
        <f t="shared" ca="1" si="2"/>
        <v>46197</v>
      </c>
      <c r="B94" s="7" t="str">
        <f>_xlfn.XLOOKUP(Production_Machine_1_Data_Entry!$D94, Data_Source!D:D, Data_Source!A:A, "Missing Value")</f>
        <v>C1</v>
      </c>
      <c r="C94" s="7">
        <f>_xlfn.XLOOKUP(Production_Machine_1_Data_Entry!$D94, Data_Source!D:D,Data_Source!C:C, "Missing Value")</f>
        <v>111</v>
      </c>
      <c r="D94" s="7" t="s">
        <v>1</v>
      </c>
      <c r="E94" s="7" t="str">
        <f>_xlfn.XLOOKUP(Production_Machine_1_Data_Entry!$D94,Data_Source!D:D, Data_Source!B:B, "Missing Value")</f>
        <v>BLUE</v>
      </c>
      <c r="F94" s="7" t="str">
        <f>_xlfn.XLOOKUP(Production_Machine_1_Data_Entry!$D94,Data_Source!D:D, Data_Source!E:E, "Missing Value")</f>
        <v>PROJECT ALFA</v>
      </c>
      <c r="G94" s="7"/>
      <c r="H94" s="7">
        <f t="shared" si="3"/>
        <v>0</v>
      </c>
      <c r="I94" s="7">
        <f>SUM(Production_Machine_1_Data_Entry!$J94:$T94)</f>
        <v>0</v>
      </c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</row>
    <row r="95" spans="1:20" x14ac:dyDescent="0.25">
      <c r="A95" s="9">
        <f t="shared" ca="1" si="2"/>
        <v>46197</v>
      </c>
      <c r="B95" s="7" t="str">
        <f>_xlfn.XLOOKUP(Production_Machine_1_Data_Entry!$D95, Data_Source!D:D, Data_Source!A:A, "Missing Value")</f>
        <v>C1</v>
      </c>
      <c r="C95" s="7">
        <f>_xlfn.XLOOKUP(Production_Machine_1_Data_Entry!$D95, Data_Source!D:D,Data_Source!C:C, "Missing Value")</f>
        <v>111</v>
      </c>
      <c r="D95" s="7" t="s">
        <v>1</v>
      </c>
      <c r="E95" s="7" t="str">
        <f>_xlfn.XLOOKUP(Production_Machine_1_Data_Entry!$D95,Data_Source!D:D, Data_Source!B:B, "Missing Value")</f>
        <v>BLUE</v>
      </c>
      <c r="F95" s="7" t="str">
        <f>_xlfn.XLOOKUP(Production_Machine_1_Data_Entry!$D95,Data_Source!D:D, Data_Source!E:E, "Missing Value")</f>
        <v>PROJECT ALFA</v>
      </c>
      <c r="G95" s="7"/>
      <c r="H95" s="7">
        <f t="shared" si="3"/>
        <v>0</v>
      </c>
      <c r="I95" s="7">
        <f>SUM(Production_Machine_1_Data_Entry!$J95:$T95)</f>
        <v>0</v>
      </c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 spans="1:20" x14ac:dyDescent="0.25">
      <c r="A96" s="9">
        <f t="shared" ca="1" si="2"/>
        <v>46197</v>
      </c>
      <c r="B96" s="7" t="str">
        <f>_xlfn.XLOOKUP(Production_Machine_1_Data_Entry!$D96, Data_Source!D:D, Data_Source!A:A, "Missing Value")</f>
        <v>C1</v>
      </c>
      <c r="C96" s="7">
        <f>_xlfn.XLOOKUP(Production_Machine_1_Data_Entry!$D96, Data_Source!D:D,Data_Source!C:C, "Missing Value")</f>
        <v>111</v>
      </c>
      <c r="D96" s="7" t="s">
        <v>1</v>
      </c>
      <c r="E96" s="7" t="str">
        <f>_xlfn.XLOOKUP(Production_Machine_1_Data_Entry!$D96,Data_Source!D:D, Data_Source!B:B, "Missing Value")</f>
        <v>BLUE</v>
      </c>
      <c r="F96" s="7" t="str">
        <f>_xlfn.XLOOKUP(Production_Machine_1_Data_Entry!$D96,Data_Source!D:D, Data_Source!E:E, "Missing Value")</f>
        <v>PROJECT ALFA</v>
      </c>
      <c r="G96" s="7"/>
      <c r="H96" s="7">
        <f t="shared" si="3"/>
        <v>0</v>
      </c>
      <c r="I96" s="7">
        <f>SUM(Production_Machine_1_Data_Entry!$J96:$T96)</f>
        <v>0</v>
      </c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 spans="1:20" x14ac:dyDescent="0.25">
      <c r="A97" s="9">
        <f t="shared" ca="1" si="2"/>
        <v>46197</v>
      </c>
      <c r="B97" s="7" t="str">
        <f>_xlfn.XLOOKUP(Production_Machine_1_Data_Entry!$D97, Data_Source!D:D, Data_Source!A:A, "Missing Value")</f>
        <v>C1</v>
      </c>
      <c r="C97" s="7">
        <f>_xlfn.XLOOKUP(Production_Machine_1_Data_Entry!$D97, Data_Source!D:D,Data_Source!C:C, "Missing Value")</f>
        <v>111</v>
      </c>
      <c r="D97" s="7" t="s">
        <v>1</v>
      </c>
      <c r="E97" s="7" t="str">
        <f>_xlfn.XLOOKUP(Production_Machine_1_Data_Entry!$D97,Data_Source!D:D, Data_Source!B:B, "Missing Value")</f>
        <v>BLUE</v>
      </c>
      <c r="F97" s="7" t="str">
        <f>_xlfn.XLOOKUP(Production_Machine_1_Data_Entry!$D97,Data_Source!D:D, Data_Source!E:E, "Missing Value")</f>
        <v>PROJECT ALFA</v>
      </c>
      <c r="G97" s="7"/>
      <c r="H97" s="7">
        <f t="shared" si="3"/>
        <v>0</v>
      </c>
      <c r="I97" s="7">
        <f>SUM(Production_Machine_1_Data_Entry!$J97:$T97)</f>
        <v>0</v>
      </c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</row>
    <row r="98" spans="1:20" x14ac:dyDescent="0.25">
      <c r="A98" s="9">
        <f t="shared" ca="1" si="2"/>
        <v>46197</v>
      </c>
      <c r="B98" s="7" t="str">
        <f>_xlfn.XLOOKUP(Production_Machine_1_Data_Entry!$D98, Data_Source!D:D, Data_Source!A:A, "Missing Value")</f>
        <v>C1</v>
      </c>
      <c r="C98" s="7">
        <f>_xlfn.XLOOKUP(Production_Machine_1_Data_Entry!$D98, Data_Source!D:D,Data_Source!C:C, "Missing Value")</f>
        <v>111</v>
      </c>
      <c r="D98" s="7" t="s">
        <v>1</v>
      </c>
      <c r="E98" s="7" t="str">
        <f>_xlfn.XLOOKUP(Production_Machine_1_Data_Entry!$D98,Data_Source!D:D, Data_Source!B:B, "Missing Value")</f>
        <v>BLUE</v>
      </c>
      <c r="F98" s="7" t="str">
        <f>_xlfn.XLOOKUP(Production_Machine_1_Data_Entry!$D98,Data_Source!D:D, Data_Source!E:E, "Missing Value")</f>
        <v>PROJECT ALFA</v>
      </c>
      <c r="G98" s="7"/>
      <c r="H98" s="7">
        <f t="shared" si="3"/>
        <v>0</v>
      </c>
      <c r="I98" s="7">
        <f>SUM(Production_Machine_1_Data_Entry!$J98:$T98)</f>
        <v>0</v>
      </c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 spans="1:20" x14ac:dyDescent="0.25">
      <c r="A99" s="9">
        <f t="shared" ca="1" si="2"/>
        <v>46197</v>
      </c>
      <c r="B99" s="7" t="str">
        <f>_xlfn.XLOOKUP(Production_Machine_1_Data_Entry!$D99, Data_Source!D:D, Data_Source!A:A, "Missing Value")</f>
        <v>C1</v>
      </c>
      <c r="C99" s="7">
        <f>_xlfn.XLOOKUP(Production_Machine_1_Data_Entry!$D99, Data_Source!D:D,Data_Source!C:C, "Missing Value")</f>
        <v>111</v>
      </c>
      <c r="D99" s="7" t="s">
        <v>1</v>
      </c>
      <c r="E99" s="7" t="str">
        <f>_xlfn.XLOOKUP(Production_Machine_1_Data_Entry!$D99,Data_Source!D:D, Data_Source!B:B, "Missing Value")</f>
        <v>BLUE</v>
      </c>
      <c r="F99" s="7" t="str">
        <f>_xlfn.XLOOKUP(Production_Machine_1_Data_Entry!$D99,Data_Source!D:D, Data_Source!E:E, "Missing Value")</f>
        <v>PROJECT ALFA</v>
      </c>
      <c r="G99" s="7"/>
      <c r="H99" s="7">
        <f t="shared" si="3"/>
        <v>0</v>
      </c>
      <c r="I99" s="7">
        <f>SUM(Production_Machine_1_Data_Entry!$J99:$T99)</f>
        <v>0</v>
      </c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 spans="1:20" x14ac:dyDescent="0.25">
      <c r="A100" s="9">
        <f t="shared" ca="1" si="2"/>
        <v>46197</v>
      </c>
      <c r="B100" s="7" t="str">
        <f>_xlfn.XLOOKUP(Production_Machine_1_Data_Entry!$D100, Data_Source!D:D, Data_Source!A:A, "Missing Value")</f>
        <v>C1</v>
      </c>
      <c r="C100" s="7">
        <f>_xlfn.XLOOKUP(Production_Machine_1_Data_Entry!$D100, Data_Source!D:D,Data_Source!C:C, "Missing Value")</f>
        <v>111</v>
      </c>
      <c r="D100" s="7" t="s">
        <v>1</v>
      </c>
      <c r="E100" s="7" t="str">
        <f>_xlfn.XLOOKUP(Production_Machine_1_Data_Entry!$D100,Data_Source!D:D, Data_Source!B:B, "Missing Value")</f>
        <v>BLUE</v>
      </c>
      <c r="F100" s="7" t="str">
        <f>_xlfn.XLOOKUP(Production_Machine_1_Data_Entry!$D100,Data_Source!D:D, Data_Source!E:E, "Missing Value")</f>
        <v>PROJECT ALFA</v>
      </c>
      <c r="G100" s="7"/>
      <c r="H100" s="7">
        <f t="shared" si="3"/>
        <v>0</v>
      </c>
      <c r="I100" s="7">
        <f>SUM(Production_Machine_1_Data_Entry!$J100:$T100)</f>
        <v>0</v>
      </c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 spans="1:20" x14ac:dyDescent="0.25">
      <c r="A101" s="9">
        <f t="shared" ca="1" si="2"/>
        <v>46197</v>
      </c>
      <c r="B101" s="7" t="str">
        <f>_xlfn.XLOOKUP(Production_Machine_1_Data_Entry!$D101, Data_Source!D:D, Data_Source!A:A, "Missing Value")</f>
        <v>C1</v>
      </c>
      <c r="C101" s="7">
        <f>_xlfn.XLOOKUP(Production_Machine_1_Data_Entry!$D101, Data_Source!D:D,Data_Source!C:C, "Missing Value")</f>
        <v>111</v>
      </c>
      <c r="D101" s="7" t="s">
        <v>1</v>
      </c>
      <c r="E101" s="7" t="str">
        <f>_xlfn.XLOOKUP(Production_Machine_1_Data_Entry!$D101,Data_Source!D:D, Data_Source!B:B, "Missing Value")</f>
        <v>BLUE</v>
      </c>
      <c r="F101" s="7" t="str">
        <f>_xlfn.XLOOKUP(Production_Machine_1_Data_Entry!$D101,Data_Source!D:D, Data_Source!E:E, "Missing Value")</f>
        <v>PROJECT ALFA</v>
      </c>
      <c r="G101" s="7"/>
      <c r="H101" s="7">
        <f t="shared" si="3"/>
        <v>0</v>
      </c>
      <c r="I101" s="7">
        <f>SUM(Production_Machine_1_Data_Entry!$J101:$T101)</f>
        <v>0</v>
      </c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 spans="1:20" x14ac:dyDescent="0.25">
      <c r="A102" s="9">
        <f t="shared" ca="1" si="2"/>
        <v>46197</v>
      </c>
      <c r="B102" s="7" t="str">
        <f>_xlfn.XLOOKUP(Production_Machine_1_Data_Entry!$D102, Data_Source!D:D, Data_Source!A:A, "Missing Value")</f>
        <v>C1</v>
      </c>
      <c r="C102" s="7">
        <f>_xlfn.XLOOKUP(Production_Machine_1_Data_Entry!$D102, Data_Source!D:D,Data_Source!C:C, "Missing Value")</f>
        <v>111</v>
      </c>
      <c r="D102" s="7" t="s">
        <v>1</v>
      </c>
      <c r="E102" s="7" t="str">
        <f>_xlfn.XLOOKUP(Production_Machine_1_Data_Entry!$D102,Data_Source!D:D, Data_Source!B:B, "Missing Value")</f>
        <v>BLUE</v>
      </c>
      <c r="F102" s="7" t="str">
        <f>_xlfn.XLOOKUP(Production_Machine_1_Data_Entry!$D102,Data_Source!D:D, Data_Source!E:E, "Missing Value")</f>
        <v>PROJECT ALFA</v>
      </c>
      <c r="G102" s="7"/>
      <c r="H102" s="7">
        <f t="shared" si="3"/>
        <v>0</v>
      </c>
      <c r="I102" s="7">
        <f>SUM(Production_Machine_1_Data_Entry!$J102:$T102)</f>
        <v>0</v>
      </c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 spans="1:20" x14ac:dyDescent="0.25">
      <c r="A103" s="9">
        <f t="shared" ca="1" si="2"/>
        <v>46197</v>
      </c>
      <c r="B103" s="7" t="str">
        <f>_xlfn.XLOOKUP(Production_Machine_1_Data_Entry!$D103, Data_Source!D:D, Data_Source!A:A, "Missing Value")</f>
        <v>C1</v>
      </c>
      <c r="C103" s="7">
        <f>_xlfn.XLOOKUP(Production_Machine_1_Data_Entry!$D103, Data_Source!D:D,Data_Source!C:C, "Missing Value")</f>
        <v>111</v>
      </c>
      <c r="D103" s="7" t="s">
        <v>1</v>
      </c>
      <c r="E103" s="7" t="str">
        <f>_xlfn.XLOOKUP(Production_Machine_1_Data_Entry!$D103,Data_Source!D:D, Data_Source!B:B, "Missing Value")</f>
        <v>BLUE</v>
      </c>
      <c r="F103" s="7" t="str">
        <f>_xlfn.XLOOKUP(Production_Machine_1_Data_Entry!$D103,Data_Source!D:D, Data_Source!E:E, "Missing Value")</f>
        <v>PROJECT ALFA</v>
      </c>
      <c r="G103" s="7"/>
      <c r="H103" s="7">
        <f t="shared" si="3"/>
        <v>0</v>
      </c>
      <c r="I103" s="7">
        <f>SUM(Production_Machine_1_Data_Entry!$J103:$T103)</f>
        <v>0</v>
      </c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 spans="1:20" x14ac:dyDescent="0.25">
      <c r="A104" s="9">
        <f t="shared" ca="1" si="2"/>
        <v>46197</v>
      </c>
      <c r="B104" s="7" t="str">
        <f>_xlfn.XLOOKUP(Production_Machine_1_Data_Entry!$D104, Data_Source!D:D, Data_Source!A:A, "Missing Value")</f>
        <v>C1</v>
      </c>
      <c r="C104" s="7">
        <f>_xlfn.XLOOKUP(Production_Machine_1_Data_Entry!$D104, Data_Source!D:D,Data_Source!C:C, "Missing Value")</f>
        <v>111</v>
      </c>
      <c r="D104" s="7" t="s">
        <v>1</v>
      </c>
      <c r="E104" s="7" t="str">
        <f>_xlfn.XLOOKUP(Production_Machine_1_Data_Entry!$D104,Data_Source!D:D, Data_Source!B:B, "Missing Value")</f>
        <v>BLUE</v>
      </c>
      <c r="F104" s="7" t="str">
        <f>_xlfn.XLOOKUP(Production_Machine_1_Data_Entry!$D104,Data_Source!D:D, Data_Source!E:E, "Missing Value")</f>
        <v>PROJECT ALFA</v>
      </c>
      <c r="G104" s="7"/>
      <c r="H104" s="7">
        <f t="shared" si="3"/>
        <v>0</v>
      </c>
      <c r="I104" s="7">
        <f>SUM(Production_Machine_1_Data_Entry!$J104:$T104)</f>
        <v>0</v>
      </c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</row>
    <row r="105" spans="1:20" x14ac:dyDescent="0.25">
      <c r="A105" s="9">
        <f t="shared" ca="1" si="2"/>
        <v>46197</v>
      </c>
      <c r="B105" s="7" t="str">
        <f>_xlfn.XLOOKUP(Production_Machine_1_Data_Entry!$D105, Data_Source!D:D, Data_Source!A:A, "Missing Value")</f>
        <v>C1</v>
      </c>
      <c r="C105" s="7">
        <f>_xlfn.XLOOKUP(Production_Machine_1_Data_Entry!$D105, Data_Source!D:D,Data_Source!C:C, "Missing Value")</f>
        <v>111</v>
      </c>
      <c r="D105" s="7" t="s">
        <v>1</v>
      </c>
      <c r="E105" s="7" t="str">
        <f>_xlfn.XLOOKUP(Production_Machine_1_Data_Entry!$D105,Data_Source!D:D, Data_Source!B:B, "Missing Value")</f>
        <v>BLUE</v>
      </c>
      <c r="F105" s="7" t="str">
        <f>_xlfn.XLOOKUP(Production_Machine_1_Data_Entry!$D105,Data_Source!D:D, Data_Source!E:E, "Missing Value")</f>
        <v>PROJECT ALFA</v>
      </c>
      <c r="G105" s="7"/>
      <c r="H105" s="7">
        <f t="shared" si="3"/>
        <v>0</v>
      </c>
      <c r="I105" s="7">
        <f>SUM(Production_Machine_1_Data_Entry!$J105:$T105)</f>
        <v>0</v>
      </c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</row>
    <row r="106" spans="1:20" x14ac:dyDescent="0.25">
      <c r="A106" s="9">
        <f t="shared" ca="1" si="2"/>
        <v>46197</v>
      </c>
      <c r="B106" s="7" t="str">
        <f>_xlfn.XLOOKUP(Production_Machine_1_Data_Entry!$D106, Data_Source!D:D, Data_Source!A:A, "Missing Value")</f>
        <v>C1</v>
      </c>
      <c r="C106" s="7">
        <f>_xlfn.XLOOKUP(Production_Machine_1_Data_Entry!$D106, Data_Source!D:D,Data_Source!C:C, "Missing Value")</f>
        <v>111</v>
      </c>
      <c r="D106" s="7" t="s">
        <v>1</v>
      </c>
      <c r="E106" s="7" t="str">
        <f>_xlfn.XLOOKUP(Production_Machine_1_Data_Entry!$D106,Data_Source!D:D, Data_Source!B:B, "Missing Value")</f>
        <v>BLUE</v>
      </c>
      <c r="F106" s="7" t="str">
        <f>_xlfn.XLOOKUP(Production_Machine_1_Data_Entry!$D106,Data_Source!D:D, Data_Source!E:E, "Missing Value")</f>
        <v>PROJECT ALFA</v>
      </c>
      <c r="G106" s="7"/>
      <c r="H106" s="7">
        <f t="shared" si="3"/>
        <v>0</v>
      </c>
      <c r="I106" s="7">
        <f>SUM(Production_Machine_1_Data_Entry!$J106:$T106)</f>
        <v>0</v>
      </c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 spans="1:20" x14ac:dyDescent="0.25">
      <c r="A107" s="9">
        <f t="shared" ca="1" si="2"/>
        <v>46197</v>
      </c>
      <c r="B107" s="7" t="str">
        <f>_xlfn.XLOOKUP(Production_Machine_1_Data_Entry!$D107, Data_Source!D:D, Data_Source!A:A, "Missing Value")</f>
        <v>C1</v>
      </c>
      <c r="C107" s="7">
        <f>_xlfn.XLOOKUP(Production_Machine_1_Data_Entry!$D107, Data_Source!D:D,Data_Source!C:C, "Missing Value")</f>
        <v>111</v>
      </c>
      <c r="D107" s="7" t="s">
        <v>1</v>
      </c>
      <c r="E107" s="7" t="str">
        <f>_xlfn.XLOOKUP(Production_Machine_1_Data_Entry!$D107,Data_Source!D:D, Data_Source!B:B, "Missing Value")</f>
        <v>BLUE</v>
      </c>
      <c r="F107" s="7" t="str">
        <f>_xlfn.XLOOKUP(Production_Machine_1_Data_Entry!$D107,Data_Source!D:D, Data_Source!E:E, "Missing Value")</f>
        <v>PROJECT ALFA</v>
      </c>
      <c r="G107" s="7"/>
      <c r="H107" s="7">
        <f t="shared" si="3"/>
        <v>0</v>
      </c>
      <c r="I107" s="7">
        <f>SUM(Production_Machine_1_Data_Entry!$J107:$T107)</f>
        <v>0</v>
      </c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 spans="1:20" x14ac:dyDescent="0.25">
      <c r="A108" s="9">
        <f t="shared" ca="1" si="2"/>
        <v>46197</v>
      </c>
      <c r="B108" s="7" t="str">
        <f>_xlfn.XLOOKUP(Production_Machine_1_Data_Entry!$D108, Data_Source!D:D, Data_Source!A:A, "Missing Value")</f>
        <v>C1</v>
      </c>
      <c r="C108" s="7">
        <f>_xlfn.XLOOKUP(Production_Machine_1_Data_Entry!$D108, Data_Source!D:D,Data_Source!C:C, "Missing Value")</f>
        <v>111</v>
      </c>
      <c r="D108" s="7" t="s">
        <v>1</v>
      </c>
      <c r="E108" s="7" t="str">
        <f>_xlfn.XLOOKUP(Production_Machine_1_Data_Entry!$D108,Data_Source!D:D, Data_Source!B:B, "Missing Value")</f>
        <v>BLUE</v>
      </c>
      <c r="F108" s="7" t="str">
        <f>_xlfn.XLOOKUP(Production_Machine_1_Data_Entry!$D108,Data_Source!D:D, Data_Source!E:E, "Missing Value")</f>
        <v>PROJECT ALFA</v>
      </c>
      <c r="G108" s="7"/>
      <c r="H108" s="7">
        <f t="shared" si="3"/>
        <v>0</v>
      </c>
      <c r="I108" s="7">
        <f>SUM(Production_Machine_1_Data_Entry!$J108:$T108)</f>
        <v>0</v>
      </c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 spans="1:20" x14ac:dyDescent="0.25">
      <c r="A109" s="9">
        <f t="shared" ca="1" si="2"/>
        <v>46197</v>
      </c>
      <c r="B109" s="7" t="str">
        <f>_xlfn.XLOOKUP(Production_Machine_1_Data_Entry!$D109, Data_Source!D:D, Data_Source!A:A, "Missing Value")</f>
        <v>C1</v>
      </c>
      <c r="C109" s="7">
        <f>_xlfn.XLOOKUP(Production_Machine_1_Data_Entry!$D109, Data_Source!D:D,Data_Source!C:C, "Missing Value")</f>
        <v>111</v>
      </c>
      <c r="D109" s="7" t="s">
        <v>1</v>
      </c>
      <c r="E109" s="7" t="str">
        <f>_xlfn.XLOOKUP(Production_Machine_1_Data_Entry!$D109,Data_Source!D:D, Data_Source!B:B, "Missing Value")</f>
        <v>BLUE</v>
      </c>
      <c r="F109" s="7" t="str">
        <f>_xlfn.XLOOKUP(Production_Machine_1_Data_Entry!$D109,Data_Source!D:D, Data_Source!E:E, "Missing Value")</f>
        <v>PROJECT ALFA</v>
      </c>
      <c r="G109" s="7"/>
      <c r="H109" s="7">
        <f t="shared" si="3"/>
        <v>0</v>
      </c>
      <c r="I109" s="7">
        <f>SUM(Production_Machine_1_Data_Entry!$J109:$T109)</f>
        <v>0</v>
      </c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 spans="1:20" x14ac:dyDescent="0.25">
      <c r="A110" s="9">
        <f t="shared" ca="1" si="2"/>
        <v>46197</v>
      </c>
      <c r="B110" s="7" t="str">
        <f>_xlfn.XLOOKUP(Production_Machine_1_Data_Entry!$D110, Data_Source!D:D, Data_Source!A:A, "Missing Value")</f>
        <v>C1</v>
      </c>
      <c r="C110" s="7">
        <f>_xlfn.XLOOKUP(Production_Machine_1_Data_Entry!$D110, Data_Source!D:D,Data_Source!C:C, "Missing Value")</f>
        <v>111</v>
      </c>
      <c r="D110" s="7" t="s">
        <v>1</v>
      </c>
      <c r="E110" s="7" t="str">
        <f>_xlfn.XLOOKUP(Production_Machine_1_Data_Entry!$D110,Data_Source!D:D, Data_Source!B:B, "Missing Value")</f>
        <v>BLUE</v>
      </c>
      <c r="F110" s="7" t="str">
        <f>_xlfn.XLOOKUP(Production_Machine_1_Data_Entry!$D110,Data_Source!D:D, Data_Source!E:E, "Missing Value")</f>
        <v>PROJECT ALFA</v>
      </c>
      <c r="G110" s="7"/>
      <c r="H110" s="7">
        <f t="shared" si="3"/>
        <v>0</v>
      </c>
      <c r="I110" s="7">
        <f>SUM(Production_Machine_1_Data_Entry!$J110:$T110)</f>
        <v>0</v>
      </c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 spans="1:20" x14ac:dyDescent="0.25">
      <c r="A111" s="9">
        <f t="shared" ca="1" si="2"/>
        <v>46197</v>
      </c>
      <c r="B111" s="7" t="str">
        <f>_xlfn.XLOOKUP(Production_Machine_1_Data_Entry!$D111, Data_Source!D:D, Data_Source!A:A, "Missing Value")</f>
        <v>C1</v>
      </c>
      <c r="C111" s="7">
        <f>_xlfn.XLOOKUP(Production_Machine_1_Data_Entry!$D111, Data_Source!D:D,Data_Source!C:C, "Missing Value")</f>
        <v>111</v>
      </c>
      <c r="D111" s="7" t="s">
        <v>1</v>
      </c>
      <c r="E111" s="7" t="str">
        <f>_xlfn.XLOOKUP(Production_Machine_1_Data_Entry!$D111,Data_Source!D:D, Data_Source!B:B, "Missing Value")</f>
        <v>BLUE</v>
      </c>
      <c r="F111" s="7" t="str">
        <f>_xlfn.XLOOKUP(Production_Machine_1_Data_Entry!$D111,Data_Source!D:D, Data_Source!E:E, "Missing Value")</f>
        <v>PROJECT ALFA</v>
      </c>
      <c r="G111" s="7"/>
      <c r="H111" s="7">
        <f t="shared" si="3"/>
        <v>0</v>
      </c>
      <c r="I111" s="7">
        <f>SUM(Production_Machine_1_Data_Entry!$J111:$T111)</f>
        <v>0</v>
      </c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 spans="1:20" x14ac:dyDescent="0.25">
      <c r="A112" s="9">
        <f t="shared" ca="1" si="2"/>
        <v>46197</v>
      </c>
      <c r="B112" s="7" t="str">
        <f>_xlfn.XLOOKUP(Production_Machine_1_Data_Entry!$D112, Data_Source!D:D, Data_Source!A:A, "Missing Value")</f>
        <v>C1</v>
      </c>
      <c r="C112" s="7">
        <f>_xlfn.XLOOKUP(Production_Machine_1_Data_Entry!$D112, Data_Source!D:D,Data_Source!C:C, "Missing Value")</f>
        <v>111</v>
      </c>
      <c r="D112" s="7" t="s">
        <v>1</v>
      </c>
      <c r="E112" s="7" t="str">
        <f>_xlfn.XLOOKUP(Production_Machine_1_Data_Entry!$D112,Data_Source!D:D, Data_Source!B:B, "Missing Value")</f>
        <v>BLUE</v>
      </c>
      <c r="F112" s="7" t="str">
        <f>_xlfn.XLOOKUP(Production_Machine_1_Data_Entry!$D112,Data_Source!D:D, Data_Source!E:E, "Missing Value")</f>
        <v>PROJECT ALFA</v>
      </c>
      <c r="G112" s="7"/>
      <c r="H112" s="7">
        <f t="shared" si="3"/>
        <v>0</v>
      </c>
      <c r="I112" s="7">
        <f>SUM(Production_Machine_1_Data_Entry!$J112:$T112)</f>
        <v>0</v>
      </c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 spans="1:20" x14ac:dyDescent="0.25">
      <c r="A113" s="9">
        <f t="shared" ca="1" si="2"/>
        <v>46197</v>
      </c>
      <c r="B113" s="7" t="str">
        <f>_xlfn.XLOOKUP(Production_Machine_1_Data_Entry!$D113, Data_Source!D:D, Data_Source!A:A, "Missing Value")</f>
        <v>C1</v>
      </c>
      <c r="C113" s="7">
        <f>_xlfn.XLOOKUP(Production_Machine_1_Data_Entry!$D113, Data_Source!D:D,Data_Source!C:C, "Missing Value")</f>
        <v>111</v>
      </c>
      <c r="D113" s="7" t="s">
        <v>1</v>
      </c>
      <c r="E113" s="7" t="str">
        <f>_xlfn.XLOOKUP(Production_Machine_1_Data_Entry!$D113,Data_Source!D:D, Data_Source!B:B, "Missing Value")</f>
        <v>BLUE</v>
      </c>
      <c r="F113" s="7" t="str">
        <f>_xlfn.XLOOKUP(Production_Machine_1_Data_Entry!$D113,Data_Source!D:D, Data_Source!E:E, "Missing Value")</f>
        <v>PROJECT ALFA</v>
      </c>
      <c r="G113" s="7"/>
      <c r="H113" s="7">
        <f t="shared" si="3"/>
        <v>0</v>
      </c>
      <c r="I113" s="7">
        <f>SUM(Production_Machine_1_Data_Entry!$J113:$T113)</f>
        <v>0</v>
      </c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 spans="1:20" x14ac:dyDescent="0.25">
      <c r="A114" s="9">
        <f t="shared" ca="1" si="2"/>
        <v>46197</v>
      </c>
      <c r="B114" s="7" t="str">
        <f>_xlfn.XLOOKUP(Production_Machine_1_Data_Entry!$D114, Data_Source!D:D, Data_Source!A:A, "Missing Value")</f>
        <v>C1</v>
      </c>
      <c r="C114" s="7">
        <f>_xlfn.XLOOKUP(Production_Machine_1_Data_Entry!$D114, Data_Source!D:D,Data_Source!C:C, "Missing Value")</f>
        <v>111</v>
      </c>
      <c r="D114" s="7" t="s">
        <v>1</v>
      </c>
      <c r="E114" s="7" t="str">
        <f>_xlfn.XLOOKUP(Production_Machine_1_Data_Entry!$D114,Data_Source!D:D, Data_Source!B:B, "Missing Value")</f>
        <v>BLUE</v>
      </c>
      <c r="F114" s="7" t="str">
        <f>_xlfn.XLOOKUP(Production_Machine_1_Data_Entry!$D114,Data_Source!D:D, Data_Source!E:E, "Missing Value")</f>
        <v>PROJECT ALFA</v>
      </c>
      <c r="G114" s="7"/>
      <c r="H114" s="7">
        <f t="shared" si="3"/>
        <v>0</v>
      </c>
      <c r="I114" s="7">
        <f>SUM(Production_Machine_1_Data_Entry!$J114:$T114)</f>
        <v>0</v>
      </c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 spans="1:20" x14ac:dyDescent="0.25">
      <c r="A115" s="9">
        <f t="shared" ca="1" si="2"/>
        <v>46197</v>
      </c>
      <c r="B115" s="7" t="str">
        <f>_xlfn.XLOOKUP(Production_Machine_1_Data_Entry!$D115, Data_Source!D:D, Data_Source!A:A, "Missing Value")</f>
        <v>C1</v>
      </c>
      <c r="C115" s="7">
        <f>_xlfn.XLOOKUP(Production_Machine_1_Data_Entry!$D115, Data_Source!D:D,Data_Source!C:C, "Missing Value")</f>
        <v>111</v>
      </c>
      <c r="D115" s="7" t="s">
        <v>1</v>
      </c>
      <c r="E115" s="7" t="str">
        <f>_xlfn.XLOOKUP(Production_Machine_1_Data_Entry!$D115,Data_Source!D:D, Data_Source!B:B, "Missing Value")</f>
        <v>BLUE</v>
      </c>
      <c r="F115" s="7" t="str">
        <f>_xlfn.XLOOKUP(Production_Machine_1_Data_Entry!$D115,Data_Source!D:D, Data_Source!E:E, "Missing Value")</f>
        <v>PROJECT ALFA</v>
      </c>
      <c r="G115" s="7"/>
      <c r="H115" s="7">
        <f t="shared" si="3"/>
        <v>0</v>
      </c>
      <c r="I115" s="7">
        <f>SUM(Production_Machine_1_Data_Entry!$J115:$T115)</f>
        <v>0</v>
      </c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 spans="1:20" x14ac:dyDescent="0.25">
      <c r="A116" s="9">
        <f t="shared" ca="1" si="2"/>
        <v>46197</v>
      </c>
      <c r="B116" s="7" t="str">
        <f>_xlfn.XLOOKUP(Production_Machine_1_Data_Entry!$D116, Data_Source!D:D, Data_Source!A:A, "Missing Value")</f>
        <v>C1</v>
      </c>
      <c r="C116" s="7">
        <f>_xlfn.XLOOKUP(Production_Machine_1_Data_Entry!$D116, Data_Source!D:D,Data_Source!C:C, "Missing Value")</f>
        <v>111</v>
      </c>
      <c r="D116" s="7" t="s">
        <v>1</v>
      </c>
      <c r="E116" s="7" t="str">
        <f>_xlfn.XLOOKUP(Production_Machine_1_Data_Entry!$D116,Data_Source!D:D, Data_Source!B:B, "Missing Value")</f>
        <v>BLUE</v>
      </c>
      <c r="F116" s="7" t="str">
        <f>_xlfn.XLOOKUP(Production_Machine_1_Data_Entry!$D116,Data_Source!D:D, Data_Source!E:E, "Missing Value")</f>
        <v>PROJECT ALFA</v>
      </c>
      <c r="G116" s="7"/>
      <c r="H116" s="7">
        <f t="shared" si="3"/>
        <v>0</v>
      </c>
      <c r="I116" s="7">
        <f>SUM(Production_Machine_1_Data_Entry!$J116:$T116)</f>
        <v>0</v>
      </c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 spans="1:20" x14ac:dyDescent="0.25">
      <c r="A117" s="9">
        <f t="shared" ca="1" si="2"/>
        <v>46197</v>
      </c>
      <c r="B117" s="7" t="str">
        <f>_xlfn.XLOOKUP(Production_Machine_1_Data_Entry!$D117, Data_Source!D:D, Data_Source!A:A, "Missing Value")</f>
        <v>C1</v>
      </c>
      <c r="C117" s="7">
        <f>_xlfn.XLOOKUP(Production_Machine_1_Data_Entry!$D117, Data_Source!D:D,Data_Source!C:C, "Missing Value")</f>
        <v>111</v>
      </c>
      <c r="D117" s="7" t="s">
        <v>1</v>
      </c>
      <c r="E117" s="7" t="str">
        <f>_xlfn.XLOOKUP(Production_Machine_1_Data_Entry!$D117,Data_Source!D:D, Data_Source!B:B, "Missing Value")</f>
        <v>BLUE</v>
      </c>
      <c r="F117" s="7" t="str">
        <f>_xlfn.XLOOKUP(Production_Machine_1_Data_Entry!$D117,Data_Source!D:D, Data_Source!E:E, "Missing Value")</f>
        <v>PROJECT ALFA</v>
      </c>
      <c r="G117" s="7"/>
      <c r="H117" s="7">
        <f t="shared" si="3"/>
        <v>0</v>
      </c>
      <c r="I117" s="7">
        <f>SUM(Production_Machine_1_Data_Entry!$J117:$T117)</f>
        <v>0</v>
      </c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 spans="1:20" x14ac:dyDescent="0.25">
      <c r="A118" s="9">
        <f t="shared" ca="1" si="2"/>
        <v>46197</v>
      </c>
      <c r="B118" s="7" t="str">
        <f>_xlfn.XLOOKUP(Production_Machine_1_Data_Entry!$D118, Data_Source!D:D, Data_Source!A:A, "Missing Value")</f>
        <v>C1</v>
      </c>
      <c r="C118" s="7">
        <f>_xlfn.XLOOKUP(Production_Machine_1_Data_Entry!$D118, Data_Source!D:D,Data_Source!C:C, "Missing Value")</f>
        <v>111</v>
      </c>
      <c r="D118" s="7" t="s">
        <v>1</v>
      </c>
      <c r="E118" s="7" t="str">
        <f>_xlfn.XLOOKUP(Production_Machine_1_Data_Entry!$D118,Data_Source!D:D, Data_Source!B:B, "Missing Value")</f>
        <v>BLUE</v>
      </c>
      <c r="F118" s="7" t="str">
        <f>_xlfn.XLOOKUP(Production_Machine_1_Data_Entry!$D118,Data_Source!D:D, Data_Source!E:E, "Missing Value")</f>
        <v>PROJECT ALFA</v>
      </c>
      <c r="G118" s="7"/>
      <c r="H118" s="7">
        <f t="shared" si="3"/>
        <v>0</v>
      </c>
      <c r="I118" s="7">
        <f>SUM(Production_Machine_1_Data_Entry!$J118:$T118)</f>
        <v>0</v>
      </c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 spans="1:20" x14ac:dyDescent="0.25">
      <c r="A119" s="9">
        <f t="shared" ca="1" si="2"/>
        <v>46197</v>
      </c>
      <c r="B119" s="7" t="str">
        <f>_xlfn.XLOOKUP(Production_Machine_1_Data_Entry!$D119, Data_Source!D:D, Data_Source!A:A, "Missing Value")</f>
        <v>C1</v>
      </c>
      <c r="C119" s="7">
        <f>_xlfn.XLOOKUP(Production_Machine_1_Data_Entry!$D119, Data_Source!D:D,Data_Source!C:C, "Missing Value")</f>
        <v>111</v>
      </c>
      <c r="D119" s="7" t="s">
        <v>1</v>
      </c>
      <c r="E119" s="7" t="str">
        <f>_xlfn.XLOOKUP(Production_Machine_1_Data_Entry!$D119,Data_Source!D:D, Data_Source!B:B, "Missing Value")</f>
        <v>BLUE</v>
      </c>
      <c r="F119" s="7" t="str">
        <f>_xlfn.XLOOKUP(Production_Machine_1_Data_Entry!$D119,Data_Source!D:D, Data_Source!E:E, "Missing Value")</f>
        <v>PROJECT ALFA</v>
      </c>
      <c r="G119" s="7"/>
      <c r="H119" s="7">
        <f t="shared" si="3"/>
        <v>0</v>
      </c>
      <c r="I119" s="7">
        <f>SUM(Production_Machine_1_Data_Entry!$J119:$T119)</f>
        <v>0</v>
      </c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 spans="1:20" x14ac:dyDescent="0.25">
      <c r="A120" s="9">
        <f t="shared" ca="1" si="2"/>
        <v>46197</v>
      </c>
      <c r="B120" s="7" t="str">
        <f>_xlfn.XLOOKUP(Production_Machine_1_Data_Entry!$D120, Data_Source!D:D, Data_Source!A:A, "Missing Value")</f>
        <v>C1</v>
      </c>
      <c r="C120" s="7">
        <f>_xlfn.XLOOKUP(Production_Machine_1_Data_Entry!$D120, Data_Source!D:D,Data_Source!C:C, "Missing Value")</f>
        <v>111</v>
      </c>
      <c r="D120" s="7" t="s">
        <v>1</v>
      </c>
      <c r="E120" s="7" t="str">
        <f>_xlfn.XLOOKUP(Production_Machine_1_Data_Entry!$D120,Data_Source!D:D, Data_Source!B:B, "Missing Value")</f>
        <v>BLUE</v>
      </c>
      <c r="F120" s="7" t="str">
        <f>_xlfn.XLOOKUP(Production_Machine_1_Data_Entry!$D120,Data_Source!D:D, Data_Source!E:E, "Missing Value")</f>
        <v>PROJECT ALFA</v>
      </c>
      <c r="G120" s="7"/>
      <c r="H120" s="7">
        <f t="shared" si="3"/>
        <v>0</v>
      </c>
      <c r="I120" s="7">
        <f>SUM(Production_Machine_1_Data_Entry!$J120:$T120)</f>
        <v>0</v>
      </c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 spans="1:20" x14ac:dyDescent="0.25">
      <c r="A121" s="9">
        <f t="shared" ca="1" si="2"/>
        <v>46197</v>
      </c>
      <c r="B121" s="7" t="str">
        <f>_xlfn.XLOOKUP(Production_Machine_1_Data_Entry!$D121, Data_Source!D:D, Data_Source!A:A, "Missing Value")</f>
        <v>C1</v>
      </c>
      <c r="C121" s="7">
        <f>_xlfn.XLOOKUP(Production_Machine_1_Data_Entry!$D121, Data_Source!D:D,Data_Source!C:C, "Missing Value")</f>
        <v>111</v>
      </c>
      <c r="D121" s="7" t="s">
        <v>1</v>
      </c>
      <c r="E121" s="7" t="str">
        <f>_xlfn.XLOOKUP(Production_Machine_1_Data_Entry!$D121,Data_Source!D:D, Data_Source!B:B, "Missing Value")</f>
        <v>BLUE</v>
      </c>
      <c r="F121" s="7" t="str">
        <f>_xlfn.XLOOKUP(Production_Machine_1_Data_Entry!$D121,Data_Source!D:D, Data_Source!E:E, "Missing Value")</f>
        <v>PROJECT ALFA</v>
      </c>
      <c r="G121" s="7"/>
      <c r="H121" s="7">
        <f t="shared" si="3"/>
        <v>0</v>
      </c>
      <c r="I121" s="7">
        <f>SUM(Production_Machine_1_Data_Entry!$J121:$T121)</f>
        <v>0</v>
      </c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 spans="1:20" x14ac:dyDescent="0.25">
      <c r="A122" s="9">
        <f t="shared" ca="1" si="2"/>
        <v>46197</v>
      </c>
      <c r="B122" s="7" t="str">
        <f>_xlfn.XLOOKUP(Production_Machine_1_Data_Entry!$D122, Data_Source!D:D, Data_Source!A:A, "Missing Value")</f>
        <v>C2</v>
      </c>
      <c r="C122" s="7">
        <f>_xlfn.XLOOKUP(Production_Machine_1_Data_Entry!$D122, Data_Source!D:D,Data_Source!C:C, "Missing Value")</f>
        <v>112</v>
      </c>
      <c r="D122" s="7" t="s">
        <v>2</v>
      </c>
      <c r="E122" s="7" t="str">
        <f>_xlfn.XLOOKUP(Production_Machine_1_Data_Entry!$D122,Data_Source!D:D, Data_Source!B:B, "Missing Value")</f>
        <v>RED</v>
      </c>
      <c r="F122" s="7" t="str">
        <f>_xlfn.XLOOKUP(Production_Machine_1_Data_Entry!$D122,Data_Source!D:D, Data_Source!E:E, "Missing Value")</f>
        <v>PROJECT BRAVO</v>
      </c>
      <c r="G122" s="7"/>
      <c r="H122" s="7">
        <f t="shared" si="3"/>
        <v>0</v>
      </c>
      <c r="I122" s="7">
        <f>SUM(Production_Machine_1_Data_Entry!$J122:$T122)</f>
        <v>0</v>
      </c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 spans="1:20" x14ac:dyDescent="0.25">
      <c r="A123" s="9">
        <f t="shared" ca="1" si="2"/>
        <v>46197</v>
      </c>
      <c r="B123" s="7" t="str">
        <f>_xlfn.XLOOKUP(Production_Machine_1_Data_Entry!$D123, Data_Source!D:D, Data_Source!A:A, "Missing Value")</f>
        <v>C2</v>
      </c>
      <c r="C123" s="7">
        <f>_xlfn.XLOOKUP(Production_Machine_1_Data_Entry!$D123, Data_Source!D:D,Data_Source!C:C, "Missing Value")</f>
        <v>112</v>
      </c>
      <c r="D123" s="7" t="s">
        <v>2</v>
      </c>
      <c r="E123" s="7" t="str">
        <f>_xlfn.XLOOKUP(Production_Machine_1_Data_Entry!$D123,Data_Source!D:D, Data_Source!B:B, "Missing Value")</f>
        <v>RED</v>
      </c>
      <c r="F123" s="7" t="str">
        <f>_xlfn.XLOOKUP(Production_Machine_1_Data_Entry!$D123,Data_Source!D:D, Data_Source!E:E, "Missing Value")</f>
        <v>PROJECT BRAVO</v>
      </c>
      <c r="G123" s="7"/>
      <c r="H123" s="7">
        <f t="shared" si="3"/>
        <v>0</v>
      </c>
      <c r="I123" s="7">
        <f>SUM(Production_Machine_1_Data_Entry!$J123:$T123)</f>
        <v>0</v>
      </c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 spans="1:20" x14ac:dyDescent="0.25">
      <c r="A124" s="9">
        <f t="shared" ca="1" si="2"/>
        <v>46197</v>
      </c>
      <c r="B124" s="7" t="str">
        <f>_xlfn.XLOOKUP(Production_Machine_1_Data_Entry!$D124, Data_Source!D:D, Data_Source!A:A, "Missing Value")</f>
        <v>C2</v>
      </c>
      <c r="C124" s="7">
        <f>_xlfn.XLOOKUP(Production_Machine_1_Data_Entry!$D124, Data_Source!D:D,Data_Source!C:C, "Missing Value")</f>
        <v>112</v>
      </c>
      <c r="D124" s="7" t="s">
        <v>2</v>
      </c>
      <c r="E124" s="7" t="str">
        <f>_xlfn.XLOOKUP(Production_Machine_1_Data_Entry!$D124,Data_Source!D:D, Data_Source!B:B, "Missing Value")</f>
        <v>RED</v>
      </c>
      <c r="F124" s="7" t="str">
        <f>_xlfn.XLOOKUP(Production_Machine_1_Data_Entry!$D124,Data_Source!D:D, Data_Source!E:E, "Missing Value")</f>
        <v>PROJECT BRAVO</v>
      </c>
      <c r="G124" s="7"/>
      <c r="H124" s="7">
        <f t="shared" si="3"/>
        <v>0</v>
      </c>
      <c r="I124" s="7">
        <f>SUM(Production_Machine_1_Data_Entry!$J124:$T124)</f>
        <v>0</v>
      </c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 spans="1:20" x14ac:dyDescent="0.25">
      <c r="A125" s="9">
        <f t="shared" ca="1" si="2"/>
        <v>46197</v>
      </c>
      <c r="B125" s="7" t="str">
        <f>_xlfn.XLOOKUP(Production_Machine_1_Data_Entry!$D125, Data_Source!D:D, Data_Source!A:A, "Missing Value")</f>
        <v>C2</v>
      </c>
      <c r="C125" s="7">
        <f>_xlfn.XLOOKUP(Production_Machine_1_Data_Entry!$D125, Data_Source!D:D,Data_Source!C:C, "Missing Value")</f>
        <v>112</v>
      </c>
      <c r="D125" s="7" t="s">
        <v>2</v>
      </c>
      <c r="E125" s="7" t="str">
        <f>_xlfn.XLOOKUP(Production_Machine_1_Data_Entry!$D125,Data_Source!D:D, Data_Source!B:B, "Missing Value")</f>
        <v>RED</v>
      </c>
      <c r="F125" s="7" t="str">
        <f>_xlfn.XLOOKUP(Production_Machine_1_Data_Entry!$D125,Data_Source!D:D, Data_Source!E:E, "Missing Value")</f>
        <v>PROJECT BRAVO</v>
      </c>
      <c r="G125" s="7"/>
      <c r="H125" s="7">
        <f t="shared" si="3"/>
        <v>0</v>
      </c>
      <c r="I125" s="7">
        <f>SUM(Production_Machine_1_Data_Entry!$J125:$T125)</f>
        <v>0</v>
      </c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 spans="1:20" x14ac:dyDescent="0.25">
      <c r="A126" s="9">
        <f t="shared" ca="1" si="2"/>
        <v>46197</v>
      </c>
      <c r="B126" s="7" t="str">
        <f>_xlfn.XLOOKUP(Production_Machine_1_Data_Entry!$D126, Data_Source!D:D, Data_Source!A:A, "Missing Value")</f>
        <v>C2</v>
      </c>
      <c r="C126" s="7">
        <f>_xlfn.XLOOKUP(Production_Machine_1_Data_Entry!$D126, Data_Source!D:D,Data_Source!C:C, "Missing Value")</f>
        <v>112</v>
      </c>
      <c r="D126" s="7" t="s">
        <v>2</v>
      </c>
      <c r="E126" s="7" t="str">
        <f>_xlfn.XLOOKUP(Production_Machine_1_Data_Entry!$D126,Data_Source!D:D, Data_Source!B:B, "Missing Value")</f>
        <v>RED</v>
      </c>
      <c r="F126" s="7" t="str">
        <f>_xlfn.XLOOKUP(Production_Machine_1_Data_Entry!$D126,Data_Source!D:D, Data_Source!E:E, "Missing Value")</f>
        <v>PROJECT BRAVO</v>
      </c>
      <c r="G126" s="7"/>
      <c r="H126" s="7">
        <f t="shared" si="3"/>
        <v>0</v>
      </c>
      <c r="I126" s="7">
        <f>SUM(Production_Machine_1_Data_Entry!$J126:$T126)</f>
        <v>0</v>
      </c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 spans="1:20" x14ac:dyDescent="0.25">
      <c r="A127" s="9">
        <f t="shared" ca="1" si="2"/>
        <v>46197</v>
      </c>
      <c r="B127" s="7" t="str">
        <f>_xlfn.XLOOKUP(Production_Machine_1_Data_Entry!$D127, Data_Source!D:D, Data_Source!A:A, "Missing Value")</f>
        <v>C2</v>
      </c>
      <c r="C127" s="7">
        <f>_xlfn.XLOOKUP(Production_Machine_1_Data_Entry!$D127, Data_Source!D:D,Data_Source!C:C, "Missing Value")</f>
        <v>112</v>
      </c>
      <c r="D127" s="7" t="s">
        <v>2</v>
      </c>
      <c r="E127" s="7" t="str">
        <f>_xlfn.XLOOKUP(Production_Machine_1_Data_Entry!$D127,Data_Source!D:D, Data_Source!B:B, "Missing Value")</f>
        <v>RED</v>
      </c>
      <c r="F127" s="7" t="str">
        <f>_xlfn.XLOOKUP(Production_Machine_1_Data_Entry!$D127,Data_Source!D:D, Data_Source!E:E, "Missing Value")</f>
        <v>PROJECT BRAVO</v>
      </c>
      <c r="G127" s="7"/>
      <c r="H127" s="7">
        <f t="shared" si="3"/>
        <v>0</v>
      </c>
      <c r="I127" s="7">
        <f>SUM(Production_Machine_1_Data_Entry!$J127:$T127)</f>
        <v>0</v>
      </c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 spans="1:20" x14ac:dyDescent="0.25">
      <c r="A128" s="9">
        <f t="shared" ca="1" si="2"/>
        <v>46197</v>
      </c>
      <c r="B128" s="7" t="str">
        <f>_xlfn.XLOOKUP(Production_Machine_1_Data_Entry!$D128, Data_Source!D:D, Data_Source!A:A, "Missing Value")</f>
        <v>C2</v>
      </c>
      <c r="C128" s="7">
        <f>_xlfn.XLOOKUP(Production_Machine_1_Data_Entry!$D128, Data_Source!D:D,Data_Source!C:C, "Missing Value")</f>
        <v>112</v>
      </c>
      <c r="D128" s="7" t="s">
        <v>2</v>
      </c>
      <c r="E128" s="7" t="str">
        <f>_xlfn.XLOOKUP(Production_Machine_1_Data_Entry!$D128,Data_Source!D:D, Data_Source!B:B, "Missing Value")</f>
        <v>RED</v>
      </c>
      <c r="F128" s="7" t="str">
        <f>_xlfn.XLOOKUP(Production_Machine_1_Data_Entry!$D128,Data_Source!D:D, Data_Source!E:E, "Missing Value")</f>
        <v>PROJECT BRAVO</v>
      </c>
      <c r="G128" s="7"/>
      <c r="H128" s="7">
        <f t="shared" si="3"/>
        <v>0</v>
      </c>
      <c r="I128" s="7">
        <f>SUM(Production_Machine_1_Data_Entry!$J128:$T128)</f>
        <v>0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 spans="1:20" x14ac:dyDescent="0.25">
      <c r="A129" s="9">
        <f t="shared" ca="1" si="2"/>
        <v>46197</v>
      </c>
      <c r="B129" s="7" t="str">
        <f>_xlfn.XLOOKUP(Production_Machine_1_Data_Entry!$D129, Data_Source!D:D, Data_Source!A:A, "Missing Value")</f>
        <v>C2</v>
      </c>
      <c r="C129" s="7">
        <f>_xlfn.XLOOKUP(Production_Machine_1_Data_Entry!$D129, Data_Source!D:D,Data_Source!C:C, "Missing Value")</f>
        <v>112</v>
      </c>
      <c r="D129" s="7" t="s">
        <v>2</v>
      </c>
      <c r="E129" s="7" t="str">
        <f>_xlfn.XLOOKUP(Production_Machine_1_Data_Entry!$D129,Data_Source!D:D, Data_Source!B:B, "Missing Value")</f>
        <v>RED</v>
      </c>
      <c r="F129" s="7" t="str">
        <f>_xlfn.XLOOKUP(Production_Machine_1_Data_Entry!$D129,Data_Source!D:D, Data_Source!E:E, "Missing Value")</f>
        <v>PROJECT BRAVO</v>
      </c>
      <c r="G129" s="7"/>
      <c r="H129" s="7">
        <f t="shared" si="3"/>
        <v>0</v>
      </c>
      <c r="I129" s="7">
        <f>SUM(Production_Machine_1_Data_Entry!$J129:$T129)</f>
        <v>0</v>
      </c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 spans="1:20" x14ac:dyDescent="0.25">
      <c r="A130" s="9">
        <f t="shared" ca="1" si="2"/>
        <v>46197</v>
      </c>
      <c r="B130" s="7" t="str">
        <f>_xlfn.XLOOKUP(Production_Machine_1_Data_Entry!$D130, Data_Source!D:D, Data_Source!A:A, "Missing Value")</f>
        <v>C2</v>
      </c>
      <c r="C130" s="7">
        <f>_xlfn.XLOOKUP(Production_Machine_1_Data_Entry!$D130, Data_Source!D:D,Data_Source!C:C, "Missing Value")</f>
        <v>112</v>
      </c>
      <c r="D130" s="7" t="s">
        <v>2</v>
      </c>
      <c r="E130" s="7" t="str">
        <f>_xlfn.XLOOKUP(Production_Machine_1_Data_Entry!$D130,Data_Source!D:D, Data_Source!B:B, "Missing Value")</f>
        <v>RED</v>
      </c>
      <c r="F130" s="7" t="str">
        <f>_xlfn.XLOOKUP(Production_Machine_1_Data_Entry!$D130,Data_Source!D:D, Data_Source!E:E, "Missing Value")</f>
        <v>PROJECT BRAVO</v>
      </c>
      <c r="G130" s="7"/>
      <c r="H130" s="7">
        <f t="shared" si="3"/>
        <v>0</v>
      </c>
      <c r="I130" s="7">
        <f>SUM(Production_Machine_1_Data_Entry!$J130:$T130)</f>
        <v>0</v>
      </c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 spans="1:20" x14ac:dyDescent="0.25">
      <c r="A131" s="9">
        <f t="shared" ref="A131:A194" ca="1" si="4">TODAY()</f>
        <v>46197</v>
      </c>
      <c r="B131" s="7" t="str">
        <f>_xlfn.XLOOKUP(Production_Machine_1_Data_Entry!$D131, Data_Source!D:D, Data_Source!A:A, "Missing Value")</f>
        <v>C2</v>
      </c>
      <c r="C131" s="7">
        <f>_xlfn.XLOOKUP(Production_Machine_1_Data_Entry!$D131, Data_Source!D:D,Data_Source!C:C, "Missing Value")</f>
        <v>112</v>
      </c>
      <c r="D131" s="7" t="s">
        <v>2</v>
      </c>
      <c r="E131" s="7" t="str">
        <f>_xlfn.XLOOKUP(Production_Machine_1_Data_Entry!$D131,Data_Source!D:D, Data_Source!B:B, "Missing Value")</f>
        <v>RED</v>
      </c>
      <c r="F131" s="7" t="str">
        <f>_xlfn.XLOOKUP(Production_Machine_1_Data_Entry!$D131,Data_Source!D:D, Data_Source!E:E, "Missing Value")</f>
        <v>PROJECT BRAVO</v>
      </c>
      <c r="G131" s="7"/>
      <c r="H131" s="7">
        <f t="shared" ref="H131:H194" si="5">G131-I131</f>
        <v>0</v>
      </c>
      <c r="I131" s="7">
        <f>SUM(Production_Machine_1_Data_Entry!$J131:$T131)</f>
        <v>0</v>
      </c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 spans="1:20" x14ac:dyDescent="0.25">
      <c r="A132" s="9">
        <f t="shared" ca="1" si="4"/>
        <v>46197</v>
      </c>
      <c r="B132" s="7" t="str">
        <f>_xlfn.XLOOKUP(Production_Machine_1_Data_Entry!$D132, Data_Source!D:D, Data_Source!A:A, "Missing Value")</f>
        <v>C2</v>
      </c>
      <c r="C132" s="7">
        <f>_xlfn.XLOOKUP(Production_Machine_1_Data_Entry!$D132, Data_Source!D:D,Data_Source!C:C, "Missing Value")</f>
        <v>112</v>
      </c>
      <c r="D132" s="7" t="s">
        <v>2</v>
      </c>
      <c r="E132" s="7" t="str">
        <f>_xlfn.XLOOKUP(Production_Machine_1_Data_Entry!$D132,Data_Source!D:D, Data_Source!B:B, "Missing Value")</f>
        <v>RED</v>
      </c>
      <c r="F132" s="7" t="str">
        <f>_xlfn.XLOOKUP(Production_Machine_1_Data_Entry!$D132,Data_Source!D:D, Data_Source!E:E, "Missing Value")</f>
        <v>PROJECT BRAVO</v>
      </c>
      <c r="G132" s="7"/>
      <c r="H132" s="7">
        <f t="shared" si="5"/>
        <v>0</v>
      </c>
      <c r="I132" s="7">
        <f>SUM(Production_Machine_1_Data_Entry!$J132:$T132)</f>
        <v>0</v>
      </c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 spans="1:20" x14ac:dyDescent="0.25">
      <c r="A133" s="9">
        <f t="shared" ca="1" si="4"/>
        <v>46197</v>
      </c>
      <c r="B133" s="7" t="str">
        <f>_xlfn.XLOOKUP(Production_Machine_1_Data_Entry!$D133, Data_Source!D:D, Data_Source!A:A, "Missing Value")</f>
        <v>C2</v>
      </c>
      <c r="C133" s="7">
        <f>_xlfn.XLOOKUP(Production_Machine_1_Data_Entry!$D133, Data_Source!D:D,Data_Source!C:C, "Missing Value")</f>
        <v>112</v>
      </c>
      <c r="D133" s="7" t="s">
        <v>2</v>
      </c>
      <c r="E133" s="7" t="str">
        <f>_xlfn.XLOOKUP(Production_Machine_1_Data_Entry!$D133,Data_Source!D:D, Data_Source!B:B, "Missing Value")</f>
        <v>RED</v>
      </c>
      <c r="F133" s="7" t="str">
        <f>_xlfn.XLOOKUP(Production_Machine_1_Data_Entry!$D133,Data_Source!D:D, Data_Source!E:E, "Missing Value")</f>
        <v>PROJECT BRAVO</v>
      </c>
      <c r="G133" s="7"/>
      <c r="H133" s="7">
        <f t="shared" si="5"/>
        <v>0</v>
      </c>
      <c r="I133" s="7">
        <f>SUM(Production_Machine_1_Data_Entry!$J133:$T133)</f>
        <v>0</v>
      </c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 spans="1:20" x14ac:dyDescent="0.25">
      <c r="A134" s="9">
        <f t="shared" ca="1" si="4"/>
        <v>46197</v>
      </c>
      <c r="B134" s="7" t="str">
        <f>_xlfn.XLOOKUP(Production_Machine_1_Data_Entry!$D134, Data_Source!D:D, Data_Source!A:A, "Missing Value")</f>
        <v>C2</v>
      </c>
      <c r="C134" s="7">
        <f>_xlfn.XLOOKUP(Production_Machine_1_Data_Entry!$D134, Data_Source!D:D,Data_Source!C:C, "Missing Value")</f>
        <v>112</v>
      </c>
      <c r="D134" s="7" t="s">
        <v>2</v>
      </c>
      <c r="E134" s="7" t="str">
        <f>_xlfn.XLOOKUP(Production_Machine_1_Data_Entry!$D134,Data_Source!D:D, Data_Source!B:B, "Missing Value")</f>
        <v>RED</v>
      </c>
      <c r="F134" s="7" t="str">
        <f>_xlfn.XLOOKUP(Production_Machine_1_Data_Entry!$D134,Data_Source!D:D, Data_Source!E:E, "Missing Value")</f>
        <v>PROJECT BRAVO</v>
      </c>
      <c r="G134" s="7"/>
      <c r="H134" s="7">
        <f t="shared" si="5"/>
        <v>0</v>
      </c>
      <c r="I134" s="7">
        <f>SUM(Production_Machine_1_Data_Entry!$J134:$T134)</f>
        <v>0</v>
      </c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 spans="1:20" x14ac:dyDescent="0.25">
      <c r="A135" s="9">
        <f t="shared" ca="1" si="4"/>
        <v>46197</v>
      </c>
      <c r="B135" s="7" t="str">
        <f>_xlfn.XLOOKUP(Production_Machine_1_Data_Entry!$D135, Data_Source!D:D, Data_Source!A:A, "Missing Value")</f>
        <v>C2</v>
      </c>
      <c r="C135" s="7">
        <f>_xlfn.XLOOKUP(Production_Machine_1_Data_Entry!$D135, Data_Source!D:D,Data_Source!C:C, "Missing Value")</f>
        <v>112</v>
      </c>
      <c r="D135" s="7" t="s">
        <v>2</v>
      </c>
      <c r="E135" s="7" t="str">
        <f>_xlfn.XLOOKUP(Production_Machine_1_Data_Entry!$D135,Data_Source!D:D, Data_Source!B:B, "Missing Value")</f>
        <v>RED</v>
      </c>
      <c r="F135" s="7" t="str">
        <f>_xlfn.XLOOKUP(Production_Machine_1_Data_Entry!$D135,Data_Source!D:D, Data_Source!E:E, "Missing Value")</f>
        <v>PROJECT BRAVO</v>
      </c>
      <c r="G135" s="7"/>
      <c r="H135" s="7">
        <f t="shared" si="5"/>
        <v>0</v>
      </c>
      <c r="I135" s="7">
        <f>SUM(Production_Machine_1_Data_Entry!$J135:$T135)</f>
        <v>0</v>
      </c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 spans="1:20" x14ac:dyDescent="0.25">
      <c r="A136" s="9">
        <f t="shared" ca="1" si="4"/>
        <v>46197</v>
      </c>
      <c r="B136" s="7" t="str">
        <f>_xlfn.XLOOKUP(Production_Machine_1_Data_Entry!$D136, Data_Source!D:D, Data_Source!A:A, "Missing Value")</f>
        <v>C2</v>
      </c>
      <c r="C136" s="7">
        <f>_xlfn.XLOOKUP(Production_Machine_1_Data_Entry!$D136, Data_Source!D:D,Data_Source!C:C, "Missing Value")</f>
        <v>112</v>
      </c>
      <c r="D136" s="7" t="s">
        <v>2</v>
      </c>
      <c r="E136" s="7" t="str">
        <f>_xlfn.XLOOKUP(Production_Machine_1_Data_Entry!$D136,Data_Source!D:D, Data_Source!B:B, "Missing Value")</f>
        <v>RED</v>
      </c>
      <c r="F136" s="7" t="str">
        <f>_xlfn.XLOOKUP(Production_Machine_1_Data_Entry!$D136,Data_Source!D:D, Data_Source!E:E, "Missing Value")</f>
        <v>PROJECT BRAVO</v>
      </c>
      <c r="G136" s="7"/>
      <c r="H136" s="7">
        <f t="shared" si="5"/>
        <v>0</v>
      </c>
      <c r="I136" s="7">
        <f>SUM(Production_Machine_1_Data_Entry!$J136:$T136)</f>
        <v>0</v>
      </c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 spans="1:20" x14ac:dyDescent="0.25">
      <c r="A137" s="9">
        <f t="shared" ca="1" si="4"/>
        <v>46197</v>
      </c>
      <c r="B137" s="7" t="str">
        <f>_xlfn.XLOOKUP(Production_Machine_1_Data_Entry!$D137, Data_Source!D:D, Data_Source!A:A, "Missing Value")</f>
        <v>C2</v>
      </c>
      <c r="C137" s="7">
        <f>_xlfn.XLOOKUP(Production_Machine_1_Data_Entry!$D137, Data_Source!D:D,Data_Source!C:C, "Missing Value")</f>
        <v>112</v>
      </c>
      <c r="D137" s="7" t="s">
        <v>2</v>
      </c>
      <c r="E137" s="7" t="str">
        <f>_xlfn.XLOOKUP(Production_Machine_1_Data_Entry!$D137,Data_Source!D:D, Data_Source!B:B, "Missing Value")</f>
        <v>RED</v>
      </c>
      <c r="F137" s="7" t="str">
        <f>_xlfn.XLOOKUP(Production_Machine_1_Data_Entry!$D137,Data_Source!D:D, Data_Source!E:E, "Missing Value")</f>
        <v>PROJECT BRAVO</v>
      </c>
      <c r="G137" s="7"/>
      <c r="H137" s="7">
        <f t="shared" si="5"/>
        <v>0</v>
      </c>
      <c r="I137" s="7">
        <f>SUM(Production_Machine_1_Data_Entry!$J137:$T137)</f>
        <v>0</v>
      </c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 spans="1:20" x14ac:dyDescent="0.25">
      <c r="A138" s="9">
        <f t="shared" ca="1" si="4"/>
        <v>46197</v>
      </c>
      <c r="B138" s="7" t="str">
        <f>_xlfn.XLOOKUP(Production_Machine_1_Data_Entry!$D138, Data_Source!D:D, Data_Source!A:A, "Missing Value")</f>
        <v>C2</v>
      </c>
      <c r="C138" s="7">
        <f>_xlfn.XLOOKUP(Production_Machine_1_Data_Entry!$D138, Data_Source!D:D,Data_Source!C:C, "Missing Value")</f>
        <v>112</v>
      </c>
      <c r="D138" s="7" t="s">
        <v>2</v>
      </c>
      <c r="E138" s="7" t="str">
        <f>_xlfn.XLOOKUP(Production_Machine_1_Data_Entry!$D138,Data_Source!D:D, Data_Source!B:B, "Missing Value")</f>
        <v>RED</v>
      </c>
      <c r="F138" s="7" t="str">
        <f>_xlfn.XLOOKUP(Production_Machine_1_Data_Entry!$D138,Data_Source!D:D, Data_Source!E:E, "Missing Value")</f>
        <v>PROJECT BRAVO</v>
      </c>
      <c r="G138" s="7"/>
      <c r="H138" s="7">
        <f t="shared" si="5"/>
        <v>0</v>
      </c>
      <c r="I138" s="7">
        <f>SUM(Production_Machine_1_Data_Entry!$J138:$T138)</f>
        <v>0</v>
      </c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 spans="1:20" x14ac:dyDescent="0.25">
      <c r="A139" s="9">
        <f t="shared" ca="1" si="4"/>
        <v>46197</v>
      </c>
      <c r="B139" s="7" t="str">
        <f>_xlfn.XLOOKUP(Production_Machine_1_Data_Entry!$D139, Data_Source!D:D, Data_Source!A:A, "Missing Value")</f>
        <v>C2</v>
      </c>
      <c r="C139" s="7">
        <f>_xlfn.XLOOKUP(Production_Machine_1_Data_Entry!$D139, Data_Source!D:D,Data_Source!C:C, "Missing Value")</f>
        <v>112</v>
      </c>
      <c r="D139" s="7" t="s">
        <v>2</v>
      </c>
      <c r="E139" s="7" t="str">
        <f>_xlfn.XLOOKUP(Production_Machine_1_Data_Entry!$D139,Data_Source!D:D, Data_Source!B:B, "Missing Value")</f>
        <v>RED</v>
      </c>
      <c r="F139" s="7" t="str">
        <f>_xlfn.XLOOKUP(Production_Machine_1_Data_Entry!$D139,Data_Source!D:D, Data_Source!E:E, "Missing Value")</f>
        <v>PROJECT BRAVO</v>
      </c>
      <c r="G139" s="7"/>
      <c r="H139" s="7">
        <f t="shared" si="5"/>
        <v>0</v>
      </c>
      <c r="I139" s="7">
        <f>SUM(Production_Machine_1_Data_Entry!$J139:$T139)</f>
        <v>0</v>
      </c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 spans="1:20" x14ac:dyDescent="0.25">
      <c r="A140" s="9">
        <f t="shared" ca="1" si="4"/>
        <v>46197</v>
      </c>
      <c r="B140" s="7" t="str">
        <f>_xlfn.XLOOKUP(Production_Machine_1_Data_Entry!$D140, Data_Source!D:D, Data_Source!A:A, "Missing Value")</f>
        <v>C2</v>
      </c>
      <c r="C140" s="7">
        <f>_xlfn.XLOOKUP(Production_Machine_1_Data_Entry!$D140, Data_Source!D:D,Data_Source!C:C, "Missing Value")</f>
        <v>112</v>
      </c>
      <c r="D140" s="7" t="s">
        <v>2</v>
      </c>
      <c r="E140" s="7" t="str">
        <f>_xlfn.XLOOKUP(Production_Machine_1_Data_Entry!$D140,Data_Source!D:D, Data_Source!B:B, "Missing Value")</f>
        <v>RED</v>
      </c>
      <c r="F140" s="7" t="str">
        <f>_xlfn.XLOOKUP(Production_Machine_1_Data_Entry!$D140,Data_Source!D:D, Data_Source!E:E, "Missing Value")</f>
        <v>PROJECT BRAVO</v>
      </c>
      <c r="G140" s="7"/>
      <c r="H140" s="7">
        <f t="shared" si="5"/>
        <v>0</v>
      </c>
      <c r="I140" s="7">
        <f>SUM(Production_Machine_1_Data_Entry!$J140:$T140)</f>
        <v>0</v>
      </c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 spans="1:20" x14ac:dyDescent="0.25">
      <c r="A141" s="9">
        <f t="shared" ca="1" si="4"/>
        <v>46197</v>
      </c>
      <c r="B141" s="7" t="str">
        <f>_xlfn.XLOOKUP(Production_Machine_1_Data_Entry!$D141, Data_Source!D:D, Data_Source!A:A, "Missing Value")</f>
        <v>C2</v>
      </c>
      <c r="C141" s="7">
        <f>_xlfn.XLOOKUP(Production_Machine_1_Data_Entry!$D141, Data_Source!D:D,Data_Source!C:C, "Missing Value")</f>
        <v>112</v>
      </c>
      <c r="D141" s="7" t="s">
        <v>2</v>
      </c>
      <c r="E141" s="7" t="str">
        <f>_xlfn.XLOOKUP(Production_Machine_1_Data_Entry!$D141,Data_Source!D:D, Data_Source!B:B, "Missing Value")</f>
        <v>RED</v>
      </c>
      <c r="F141" s="7" t="str">
        <f>_xlfn.XLOOKUP(Production_Machine_1_Data_Entry!$D141,Data_Source!D:D, Data_Source!E:E, "Missing Value")</f>
        <v>PROJECT BRAVO</v>
      </c>
      <c r="G141" s="7"/>
      <c r="H141" s="7">
        <f t="shared" si="5"/>
        <v>0</v>
      </c>
      <c r="I141" s="7">
        <f>SUM(Production_Machine_1_Data_Entry!$J141:$T141)</f>
        <v>0</v>
      </c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 spans="1:20" x14ac:dyDescent="0.25">
      <c r="A142" s="9">
        <f t="shared" ca="1" si="4"/>
        <v>46197</v>
      </c>
      <c r="B142" s="7" t="str">
        <f>_xlfn.XLOOKUP(Production_Machine_1_Data_Entry!$D142, Data_Source!D:D, Data_Source!A:A, "Missing Value")</f>
        <v>C2</v>
      </c>
      <c r="C142" s="7">
        <f>_xlfn.XLOOKUP(Production_Machine_1_Data_Entry!$D142, Data_Source!D:D,Data_Source!C:C, "Missing Value")</f>
        <v>112</v>
      </c>
      <c r="D142" s="7" t="s">
        <v>2</v>
      </c>
      <c r="E142" s="7" t="str">
        <f>_xlfn.XLOOKUP(Production_Machine_1_Data_Entry!$D142,Data_Source!D:D, Data_Source!B:B, "Missing Value")</f>
        <v>RED</v>
      </c>
      <c r="F142" s="7" t="str">
        <f>_xlfn.XLOOKUP(Production_Machine_1_Data_Entry!$D142,Data_Source!D:D, Data_Source!E:E, "Missing Value")</f>
        <v>PROJECT BRAVO</v>
      </c>
      <c r="G142" s="7"/>
      <c r="H142" s="7">
        <f t="shared" si="5"/>
        <v>0</v>
      </c>
      <c r="I142" s="7">
        <f>SUM(Production_Machine_1_Data_Entry!$J142:$T142)</f>
        <v>0</v>
      </c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 spans="1:20" x14ac:dyDescent="0.25">
      <c r="A143" s="9">
        <f t="shared" ca="1" si="4"/>
        <v>46197</v>
      </c>
      <c r="B143" s="7" t="str">
        <f>_xlfn.XLOOKUP(Production_Machine_1_Data_Entry!$D143, Data_Source!D:D, Data_Source!A:A, "Missing Value")</f>
        <v>C2</v>
      </c>
      <c r="C143" s="7">
        <f>_xlfn.XLOOKUP(Production_Machine_1_Data_Entry!$D143, Data_Source!D:D,Data_Source!C:C, "Missing Value")</f>
        <v>112</v>
      </c>
      <c r="D143" s="7" t="s">
        <v>2</v>
      </c>
      <c r="E143" s="7" t="str">
        <f>_xlfn.XLOOKUP(Production_Machine_1_Data_Entry!$D143,Data_Source!D:D, Data_Source!B:B, "Missing Value")</f>
        <v>RED</v>
      </c>
      <c r="F143" s="7" t="str">
        <f>_xlfn.XLOOKUP(Production_Machine_1_Data_Entry!$D143,Data_Source!D:D, Data_Source!E:E, "Missing Value")</f>
        <v>PROJECT BRAVO</v>
      </c>
      <c r="G143" s="7"/>
      <c r="H143" s="7">
        <f t="shared" si="5"/>
        <v>0</v>
      </c>
      <c r="I143" s="7">
        <f>SUM(Production_Machine_1_Data_Entry!$J143:$T143)</f>
        <v>0</v>
      </c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 spans="1:20" x14ac:dyDescent="0.25">
      <c r="A144" s="9">
        <f t="shared" ca="1" si="4"/>
        <v>46197</v>
      </c>
      <c r="B144" s="7" t="str">
        <f>_xlfn.XLOOKUP(Production_Machine_1_Data_Entry!$D144, Data_Source!D:D, Data_Source!A:A, "Missing Value")</f>
        <v>C2</v>
      </c>
      <c r="C144" s="7">
        <f>_xlfn.XLOOKUP(Production_Machine_1_Data_Entry!$D144, Data_Source!D:D,Data_Source!C:C, "Missing Value")</f>
        <v>112</v>
      </c>
      <c r="D144" s="7" t="s">
        <v>2</v>
      </c>
      <c r="E144" s="7" t="str">
        <f>_xlfn.XLOOKUP(Production_Machine_1_Data_Entry!$D144,Data_Source!D:D, Data_Source!B:B, "Missing Value")</f>
        <v>RED</v>
      </c>
      <c r="F144" s="7" t="str">
        <f>_xlfn.XLOOKUP(Production_Machine_1_Data_Entry!$D144,Data_Source!D:D, Data_Source!E:E, "Missing Value")</f>
        <v>PROJECT BRAVO</v>
      </c>
      <c r="G144" s="7"/>
      <c r="H144" s="7">
        <f t="shared" si="5"/>
        <v>0</v>
      </c>
      <c r="I144" s="7">
        <f>SUM(Production_Machine_1_Data_Entry!$J144:$T144)</f>
        <v>0</v>
      </c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 spans="1:20" x14ac:dyDescent="0.25">
      <c r="A145" s="9">
        <f t="shared" ca="1" si="4"/>
        <v>46197</v>
      </c>
      <c r="B145" s="7" t="str">
        <f>_xlfn.XLOOKUP(Production_Machine_1_Data_Entry!$D145, Data_Source!D:D, Data_Source!A:A, "Missing Value")</f>
        <v>C2</v>
      </c>
      <c r="C145" s="7">
        <f>_xlfn.XLOOKUP(Production_Machine_1_Data_Entry!$D145, Data_Source!D:D,Data_Source!C:C, "Missing Value")</f>
        <v>112</v>
      </c>
      <c r="D145" s="7" t="s">
        <v>2</v>
      </c>
      <c r="E145" s="7" t="str">
        <f>_xlfn.XLOOKUP(Production_Machine_1_Data_Entry!$D145,Data_Source!D:D, Data_Source!B:B, "Missing Value")</f>
        <v>RED</v>
      </c>
      <c r="F145" s="7" t="str">
        <f>_xlfn.XLOOKUP(Production_Machine_1_Data_Entry!$D145,Data_Source!D:D, Data_Source!E:E, "Missing Value")</f>
        <v>PROJECT BRAVO</v>
      </c>
      <c r="G145" s="7"/>
      <c r="H145" s="7">
        <f t="shared" si="5"/>
        <v>0</v>
      </c>
      <c r="I145" s="7">
        <f>SUM(Production_Machine_1_Data_Entry!$J145:$T145)</f>
        <v>0</v>
      </c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 spans="1:20" x14ac:dyDescent="0.25">
      <c r="A146" s="9">
        <f t="shared" ca="1" si="4"/>
        <v>46197</v>
      </c>
      <c r="B146" s="7" t="str">
        <f>_xlfn.XLOOKUP(Production_Machine_1_Data_Entry!$D146, Data_Source!D:D, Data_Source!A:A, "Missing Value")</f>
        <v>C2</v>
      </c>
      <c r="C146" s="7">
        <f>_xlfn.XLOOKUP(Production_Machine_1_Data_Entry!$D146, Data_Source!D:D,Data_Source!C:C, "Missing Value")</f>
        <v>112</v>
      </c>
      <c r="D146" s="7" t="s">
        <v>2</v>
      </c>
      <c r="E146" s="7" t="str">
        <f>_xlfn.XLOOKUP(Production_Machine_1_Data_Entry!$D146,Data_Source!D:D, Data_Source!B:B, "Missing Value")</f>
        <v>RED</v>
      </c>
      <c r="F146" s="7" t="str">
        <f>_xlfn.XLOOKUP(Production_Machine_1_Data_Entry!$D146,Data_Source!D:D, Data_Source!E:E, "Missing Value")</f>
        <v>PROJECT BRAVO</v>
      </c>
      <c r="G146" s="7"/>
      <c r="H146" s="7">
        <f t="shared" si="5"/>
        <v>0</v>
      </c>
      <c r="I146" s="7">
        <f>SUM(Production_Machine_1_Data_Entry!$J146:$T146)</f>
        <v>0</v>
      </c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 spans="1:20" x14ac:dyDescent="0.25">
      <c r="A147" s="9">
        <f t="shared" ca="1" si="4"/>
        <v>46197</v>
      </c>
      <c r="B147" s="7" t="str">
        <f>_xlfn.XLOOKUP(Production_Machine_1_Data_Entry!$D147, Data_Source!D:D, Data_Source!A:A, "Missing Value")</f>
        <v>C2</v>
      </c>
      <c r="C147" s="7">
        <f>_xlfn.XLOOKUP(Production_Machine_1_Data_Entry!$D147, Data_Source!D:D,Data_Source!C:C, "Missing Value")</f>
        <v>112</v>
      </c>
      <c r="D147" s="7" t="s">
        <v>2</v>
      </c>
      <c r="E147" s="7" t="str">
        <f>_xlfn.XLOOKUP(Production_Machine_1_Data_Entry!$D147,Data_Source!D:D, Data_Source!B:B, "Missing Value")</f>
        <v>RED</v>
      </c>
      <c r="F147" s="7" t="str">
        <f>_xlfn.XLOOKUP(Production_Machine_1_Data_Entry!$D147,Data_Source!D:D, Data_Source!E:E, "Missing Value")</f>
        <v>PROJECT BRAVO</v>
      </c>
      <c r="G147" s="7"/>
      <c r="H147" s="7">
        <f t="shared" si="5"/>
        <v>0</v>
      </c>
      <c r="I147" s="7">
        <f>SUM(Production_Machine_1_Data_Entry!$J147:$T147)</f>
        <v>0</v>
      </c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 spans="1:20" x14ac:dyDescent="0.25">
      <c r="A148" s="9">
        <f t="shared" ca="1" si="4"/>
        <v>46197</v>
      </c>
      <c r="B148" s="7" t="str">
        <f>_xlfn.XLOOKUP(Production_Machine_1_Data_Entry!$D148, Data_Source!D:D, Data_Source!A:A, "Missing Value")</f>
        <v>C2</v>
      </c>
      <c r="C148" s="7">
        <f>_xlfn.XLOOKUP(Production_Machine_1_Data_Entry!$D148, Data_Source!D:D,Data_Source!C:C, "Missing Value")</f>
        <v>112</v>
      </c>
      <c r="D148" s="7" t="s">
        <v>2</v>
      </c>
      <c r="E148" s="7" t="str">
        <f>_xlfn.XLOOKUP(Production_Machine_1_Data_Entry!$D148,Data_Source!D:D, Data_Source!B:B, "Missing Value")</f>
        <v>RED</v>
      </c>
      <c r="F148" s="7" t="str">
        <f>_xlfn.XLOOKUP(Production_Machine_1_Data_Entry!$D148,Data_Source!D:D, Data_Source!E:E, "Missing Value")</f>
        <v>PROJECT BRAVO</v>
      </c>
      <c r="G148" s="7"/>
      <c r="H148" s="7">
        <f t="shared" si="5"/>
        <v>0</v>
      </c>
      <c r="I148" s="7">
        <f>SUM(Production_Machine_1_Data_Entry!$J148:$T148)</f>
        <v>0</v>
      </c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 spans="1:20" x14ac:dyDescent="0.25">
      <c r="A149" s="9">
        <f t="shared" ca="1" si="4"/>
        <v>46197</v>
      </c>
      <c r="B149" s="7" t="str">
        <f>_xlfn.XLOOKUP(Production_Machine_1_Data_Entry!$D149, Data_Source!D:D, Data_Source!A:A, "Missing Value")</f>
        <v>C2</v>
      </c>
      <c r="C149" s="7">
        <f>_xlfn.XLOOKUP(Production_Machine_1_Data_Entry!$D149, Data_Source!D:D,Data_Source!C:C, "Missing Value")</f>
        <v>112</v>
      </c>
      <c r="D149" s="7" t="s">
        <v>2</v>
      </c>
      <c r="E149" s="7" t="str">
        <f>_xlfn.XLOOKUP(Production_Machine_1_Data_Entry!$D149,Data_Source!D:D, Data_Source!B:B, "Missing Value")</f>
        <v>RED</v>
      </c>
      <c r="F149" s="7" t="str">
        <f>_xlfn.XLOOKUP(Production_Machine_1_Data_Entry!$D149,Data_Source!D:D, Data_Source!E:E, "Missing Value")</f>
        <v>PROJECT BRAVO</v>
      </c>
      <c r="G149" s="7"/>
      <c r="H149" s="7">
        <f t="shared" si="5"/>
        <v>0</v>
      </c>
      <c r="I149" s="7">
        <f>SUM(Production_Machine_1_Data_Entry!$J149:$T149)</f>
        <v>0</v>
      </c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 spans="1:20" x14ac:dyDescent="0.25">
      <c r="A150" s="9">
        <f t="shared" ca="1" si="4"/>
        <v>46197</v>
      </c>
      <c r="B150" s="7" t="str">
        <f>_xlfn.XLOOKUP(Production_Machine_1_Data_Entry!$D150, Data_Source!D:D, Data_Source!A:A, "Missing Value")</f>
        <v>C2</v>
      </c>
      <c r="C150" s="7">
        <f>_xlfn.XLOOKUP(Production_Machine_1_Data_Entry!$D150, Data_Source!D:D,Data_Source!C:C, "Missing Value")</f>
        <v>112</v>
      </c>
      <c r="D150" s="7" t="s">
        <v>2</v>
      </c>
      <c r="E150" s="7" t="str">
        <f>_xlfn.XLOOKUP(Production_Machine_1_Data_Entry!$D150,Data_Source!D:D, Data_Source!B:B, "Missing Value")</f>
        <v>RED</v>
      </c>
      <c r="F150" s="7" t="str">
        <f>_xlfn.XLOOKUP(Production_Machine_1_Data_Entry!$D150,Data_Source!D:D, Data_Source!E:E, "Missing Value")</f>
        <v>PROJECT BRAVO</v>
      </c>
      <c r="G150" s="7"/>
      <c r="H150" s="7">
        <f t="shared" si="5"/>
        <v>0</v>
      </c>
      <c r="I150" s="7">
        <f>SUM(Production_Machine_1_Data_Entry!$J150:$T150)</f>
        <v>0</v>
      </c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 spans="1:20" x14ac:dyDescent="0.25">
      <c r="A151" s="9">
        <f t="shared" ca="1" si="4"/>
        <v>46197</v>
      </c>
      <c r="B151" s="7" t="str">
        <f>_xlfn.XLOOKUP(Production_Machine_1_Data_Entry!$D151, Data_Source!D:D, Data_Source!A:A, "Missing Value")</f>
        <v>C2</v>
      </c>
      <c r="C151" s="7">
        <f>_xlfn.XLOOKUP(Production_Machine_1_Data_Entry!$D151, Data_Source!D:D,Data_Source!C:C, "Missing Value")</f>
        <v>112</v>
      </c>
      <c r="D151" s="7" t="s">
        <v>2</v>
      </c>
      <c r="E151" s="7" t="str">
        <f>_xlfn.XLOOKUP(Production_Machine_1_Data_Entry!$D151,Data_Source!D:D, Data_Source!B:B, "Missing Value")</f>
        <v>RED</v>
      </c>
      <c r="F151" s="7" t="str">
        <f>_xlfn.XLOOKUP(Production_Machine_1_Data_Entry!$D151,Data_Source!D:D, Data_Source!E:E, "Missing Value")</f>
        <v>PROJECT BRAVO</v>
      </c>
      <c r="G151" s="7"/>
      <c r="H151" s="7">
        <f t="shared" si="5"/>
        <v>0</v>
      </c>
      <c r="I151" s="7">
        <f>SUM(Production_Machine_1_Data_Entry!$J151:$T151)</f>
        <v>0</v>
      </c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 spans="1:20" x14ac:dyDescent="0.25">
      <c r="A152" s="9">
        <f t="shared" ca="1" si="4"/>
        <v>46197</v>
      </c>
      <c r="B152" s="7" t="str">
        <f>_xlfn.XLOOKUP(Production_Machine_1_Data_Entry!$D152, Data_Source!D:D, Data_Source!A:A, "Missing Value")</f>
        <v>C3</v>
      </c>
      <c r="C152" s="7">
        <f>_xlfn.XLOOKUP(Production_Machine_1_Data_Entry!$D152, Data_Source!D:D,Data_Source!C:C, "Missing Value")</f>
        <v>113</v>
      </c>
      <c r="D152" s="7" t="s">
        <v>3</v>
      </c>
      <c r="E152" s="7" t="str">
        <f>_xlfn.XLOOKUP(Production_Machine_1_Data_Entry!$D152,Data_Source!D:D, Data_Source!B:B, "Missing Value")</f>
        <v>GREEN</v>
      </c>
      <c r="F152" s="7" t="str">
        <f>_xlfn.XLOOKUP(Production_Machine_1_Data_Entry!$D152,Data_Source!D:D, Data_Source!E:E, "Missing Value")</f>
        <v>PROJECT CHARLIE</v>
      </c>
      <c r="G152" s="7"/>
      <c r="H152" s="7">
        <f t="shared" si="5"/>
        <v>0</v>
      </c>
      <c r="I152" s="7">
        <f>SUM(Production_Machine_1_Data_Entry!$J152:$T152)</f>
        <v>0</v>
      </c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 spans="1:20" x14ac:dyDescent="0.25">
      <c r="A153" s="9">
        <f t="shared" ca="1" si="4"/>
        <v>46197</v>
      </c>
      <c r="B153" s="7" t="str">
        <f>_xlfn.XLOOKUP(Production_Machine_1_Data_Entry!$D153, Data_Source!D:D, Data_Source!A:A, "Missing Value")</f>
        <v>C3</v>
      </c>
      <c r="C153" s="7">
        <f>_xlfn.XLOOKUP(Production_Machine_1_Data_Entry!$D153, Data_Source!D:D,Data_Source!C:C, "Missing Value")</f>
        <v>113</v>
      </c>
      <c r="D153" s="7" t="s">
        <v>4</v>
      </c>
      <c r="E153" s="7" t="str">
        <f>_xlfn.XLOOKUP(Production_Machine_1_Data_Entry!$D153,Data_Source!D:D, Data_Source!B:B, "Missing Value")</f>
        <v>GREEN</v>
      </c>
      <c r="F153" s="7" t="str">
        <f>_xlfn.XLOOKUP(Production_Machine_1_Data_Entry!$D153,Data_Source!D:D, Data_Source!E:E, "Missing Value")</f>
        <v>PROJECT CHARLIE</v>
      </c>
      <c r="G153" s="7"/>
      <c r="H153" s="7">
        <f t="shared" si="5"/>
        <v>0</v>
      </c>
      <c r="I153" s="7">
        <f>SUM(Production_Machine_1_Data_Entry!$J153:$T153)</f>
        <v>0</v>
      </c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 spans="1:20" x14ac:dyDescent="0.25">
      <c r="A154" s="9">
        <f t="shared" ca="1" si="4"/>
        <v>46197</v>
      </c>
      <c r="B154" s="7" t="str">
        <f>_xlfn.XLOOKUP(Production_Machine_1_Data_Entry!$D154, Data_Source!D:D, Data_Source!A:A, "Missing Value")</f>
        <v>C3</v>
      </c>
      <c r="C154" s="7">
        <f>_xlfn.XLOOKUP(Production_Machine_1_Data_Entry!$D154, Data_Source!D:D,Data_Source!C:C, "Missing Value")</f>
        <v>113</v>
      </c>
      <c r="D154" s="7" t="s">
        <v>4</v>
      </c>
      <c r="E154" s="7" t="str">
        <f>_xlfn.XLOOKUP(Production_Machine_1_Data_Entry!$D154,Data_Source!D:D, Data_Source!B:B, "Missing Value")</f>
        <v>GREEN</v>
      </c>
      <c r="F154" s="7" t="str">
        <f>_xlfn.XLOOKUP(Production_Machine_1_Data_Entry!$D154,Data_Source!D:D, Data_Source!E:E, "Missing Value")</f>
        <v>PROJECT CHARLIE</v>
      </c>
      <c r="G154" s="7"/>
      <c r="H154" s="7">
        <f t="shared" si="5"/>
        <v>0</v>
      </c>
      <c r="I154" s="7">
        <f>SUM(Production_Machine_1_Data_Entry!$J154:$T154)</f>
        <v>0</v>
      </c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 spans="1:20" x14ac:dyDescent="0.25">
      <c r="A155" s="9">
        <f t="shared" ca="1" si="4"/>
        <v>46197</v>
      </c>
      <c r="B155" s="7" t="str">
        <f>_xlfn.XLOOKUP(Production_Machine_1_Data_Entry!$D155, Data_Source!D:D, Data_Source!A:A, "Missing Value")</f>
        <v>C3</v>
      </c>
      <c r="C155" s="7">
        <f>_xlfn.XLOOKUP(Production_Machine_1_Data_Entry!$D155, Data_Source!D:D,Data_Source!C:C, "Missing Value")</f>
        <v>113</v>
      </c>
      <c r="D155" s="7" t="s">
        <v>4</v>
      </c>
      <c r="E155" s="7" t="str">
        <f>_xlfn.XLOOKUP(Production_Machine_1_Data_Entry!$D155,Data_Source!D:D, Data_Source!B:B, "Missing Value")</f>
        <v>GREEN</v>
      </c>
      <c r="F155" s="7" t="str">
        <f>_xlfn.XLOOKUP(Production_Machine_1_Data_Entry!$D155,Data_Source!D:D, Data_Source!E:E, "Missing Value")</f>
        <v>PROJECT CHARLIE</v>
      </c>
      <c r="G155" s="7"/>
      <c r="H155" s="7">
        <f t="shared" si="5"/>
        <v>0</v>
      </c>
      <c r="I155" s="7">
        <f>SUM(Production_Machine_1_Data_Entry!$J155:$T155)</f>
        <v>0</v>
      </c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 spans="1:20" x14ac:dyDescent="0.25">
      <c r="A156" s="9">
        <f t="shared" ca="1" si="4"/>
        <v>46197</v>
      </c>
      <c r="B156" s="7" t="str">
        <f>_xlfn.XLOOKUP(Production_Machine_1_Data_Entry!$D156, Data_Source!D:D, Data_Source!A:A, "Missing Value")</f>
        <v>C3</v>
      </c>
      <c r="C156" s="7">
        <f>_xlfn.XLOOKUP(Production_Machine_1_Data_Entry!$D156, Data_Source!D:D,Data_Source!C:C, "Missing Value")</f>
        <v>113</v>
      </c>
      <c r="D156" s="7" t="s">
        <v>4</v>
      </c>
      <c r="E156" s="7" t="str">
        <f>_xlfn.XLOOKUP(Production_Machine_1_Data_Entry!$D156,Data_Source!D:D, Data_Source!B:B, "Missing Value")</f>
        <v>GREEN</v>
      </c>
      <c r="F156" s="7" t="str">
        <f>_xlfn.XLOOKUP(Production_Machine_1_Data_Entry!$D156,Data_Source!D:D, Data_Source!E:E, "Missing Value")</f>
        <v>PROJECT CHARLIE</v>
      </c>
      <c r="G156" s="7"/>
      <c r="H156" s="7">
        <f t="shared" si="5"/>
        <v>0</v>
      </c>
      <c r="I156" s="7">
        <f>SUM(Production_Machine_1_Data_Entry!$J156:$T156)</f>
        <v>0</v>
      </c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 spans="1:20" x14ac:dyDescent="0.25">
      <c r="A157" s="9">
        <f t="shared" ca="1" si="4"/>
        <v>46197</v>
      </c>
      <c r="B157" s="7" t="str">
        <f>_xlfn.XLOOKUP(Production_Machine_1_Data_Entry!$D157, Data_Source!D:D, Data_Source!A:A, "Missing Value")</f>
        <v>C3</v>
      </c>
      <c r="C157" s="7">
        <f>_xlfn.XLOOKUP(Production_Machine_1_Data_Entry!$D157, Data_Source!D:D,Data_Source!C:C, "Missing Value")</f>
        <v>113</v>
      </c>
      <c r="D157" s="7" t="s">
        <v>4</v>
      </c>
      <c r="E157" s="7" t="str">
        <f>_xlfn.XLOOKUP(Production_Machine_1_Data_Entry!$D157,Data_Source!D:D, Data_Source!B:B, "Missing Value")</f>
        <v>GREEN</v>
      </c>
      <c r="F157" s="7" t="str">
        <f>_xlfn.XLOOKUP(Production_Machine_1_Data_Entry!$D157,Data_Source!D:D, Data_Source!E:E, "Missing Value")</f>
        <v>PROJECT CHARLIE</v>
      </c>
      <c r="G157" s="7"/>
      <c r="H157" s="7">
        <f t="shared" si="5"/>
        <v>0</v>
      </c>
      <c r="I157" s="7">
        <f>SUM(Production_Machine_1_Data_Entry!$J157:$T157)</f>
        <v>0</v>
      </c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 spans="1:20" x14ac:dyDescent="0.25">
      <c r="A158" s="9">
        <f t="shared" ca="1" si="4"/>
        <v>46197</v>
      </c>
      <c r="B158" s="7" t="str">
        <f>_xlfn.XLOOKUP(Production_Machine_1_Data_Entry!$D158, Data_Source!D:D, Data_Source!A:A, "Missing Value")</f>
        <v>C3</v>
      </c>
      <c r="C158" s="7">
        <f>_xlfn.XLOOKUP(Production_Machine_1_Data_Entry!$D158, Data_Source!D:D,Data_Source!C:C, "Missing Value")</f>
        <v>113</v>
      </c>
      <c r="D158" s="7" t="s">
        <v>4</v>
      </c>
      <c r="E158" s="7" t="str">
        <f>_xlfn.XLOOKUP(Production_Machine_1_Data_Entry!$D158,Data_Source!D:D, Data_Source!B:B, "Missing Value")</f>
        <v>GREEN</v>
      </c>
      <c r="F158" s="7" t="str">
        <f>_xlfn.XLOOKUP(Production_Machine_1_Data_Entry!$D158,Data_Source!D:D, Data_Source!E:E, "Missing Value")</f>
        <v>PROJECT CHARLIE</v>
      </c>
      <c r="G158" s="7"/>
      <c r="H158" s="7">
        <f t="shared" si="5"/>
        <v>0</v>
      </c>
      <c r="I158" s="7">
        <f>SUM(Production_Machine_1_Data_Entry!$J158:$T158)</f>
        <v>0</v>
      </c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 spans="1:20" x14ac:dyDescent="0.25">
      <c r="A159" s="9">
        <f t="shared" ca="1" si="4"/>
        <v>46197</v>
      </c>
      <c r="B159" s="7" t="str">
        <f>_xlfn.XLOOKUP(Production_Machine_1_Data_Entry!$D159, Data_Source!D:D, Data_Source!A:A, "Missing Value")</f>
        <v>C3</v>
      </c>
      <c r="C159" s="7">
        <f>_xlfn.XLOOKUP(Production_Machine_1_Data_Entry!$D159, Data_Source!D:D,Data_Source!C:C, "Missing Value")</f>
        <v>113</v>
      </c>
      <c r="D159" s="7" t="s">
        <v>4</v>
      </c>
      <c r="E159" s="7" t="str">
        <f>_xlfn.XLOOKUP(Production_Machine_1_Data_Entry!$D159,Data_Source!D:D, Data_Source!B:B, "Missing Value")</f>
        <v>GREEN</v>
      </c>
      <c r="F159" s="7" t="str">
        <f>_xlfn.XLOOKUP(Production_Machine_1_Data_Entry!$D159,Data_Source!D:D, Data_Source!E:E, "Missing Value")</f>
        <v>PROJECT CHARLIE</v>
      </c>
      <c r="G159" s="7"/>
      <c r="H159" s="7">
        <f t="shared" si="5"/>
        <v>0</v>
      </c>
      <c r="I159" s="7">
        <f>SUM(Production_Machine_1_Data_Entry!$J159:$T159)</f>
        <v>0</v>
      </c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 spans="1:20" x14ac:dyDescent="0.25">
      <c r="A160" s="9">
        <f t="shared" ca="1" si="4"/>
        <v>46197</v>
      </c>
      <c r="B160" s="7" t="str">
        <f>_xlfn.XLOOKUP(Production_Machine_1_Data_Entry!$D160, Data_Source!D:D, Data_Source!A:A, "Missing Value")</f>
        <v>C3</v>
      </c>
      <c r="C160" s="7">
        <f>_xlfn.XLOOKUP(Production_Machine_1_Data_Entry!$D160, Data_Source!D:D,Data_Source!C:C, "Missing Value")</f>
        <v>113</v>
      </c>
      <c r="D160" s="7" t="s">
        <v>4</v>
      </c>
      <c r="E160" s="7" t="str">
        <f>_xlfn.XLOOKUP(Production_Machine_1_Data_Entry!$D160,Data_Source!D:D, Data_Source!B:B, "Missing Value")</f>
        <v>GREEN</v>
      </c>
      <c r="F160" s="7" t="str">
        <f>_xlfn.XLOOKUP(Production_Machine_1_Data_Entry!$D160,Data_Source!D:D, Data_Source!E:E, "Missing Value")</f>
        <v>PROJECT CHARLIE</v>
      </c>
      <c r="G160" s="7"/>
      <c r="H160" s="7">
        <f t="shared" si="5"/>
        <v>0</v>
      </c>
      <c r="I160" s="7">
        <f>SUM(Production_Machine_1_Data_Entry!$J160:$T160)</f>
        <v>0</v>
      </c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 spans="1:20" x14ac:dyDescent="0.25">
      <c r="A161" s="9">
        <f t="shared" ca="1" si="4"/>
        <v>46197</v>
      </c>
      <c r="B161" s="7" t="str">
        <f>_xlfn.XLOOKUP(Production_Machine_1_Data_Entry!$D161, Data_Source!D:D, Data_Source!A:A, "Missing Value")</f>
        <v>C3</v>
      </c>
      <c r="C161" s="7">
        <f>_xlfn.XLOOKUP(Production_Machine_1_Data_Entry!$D161, Data_Source!D:D,Data_Source!C:C, "Missing Value")</f>
        <v>113</v>
      </c>
      <c r="D161" s="7" t="s">
        <v>4</v>
      </c>
      <c r="E161" s="7" t="str">
        <f>_xlfn.XLOOKUP(Production_Machine_1_Data_Entry!$D161,Data_Source!D:D, Data_Source!B:B, "Missing Value")</f>
        <v>GREEN</v>
      </c>
      <c r="F161" s="7" t="str">
        <f>_xlfn.XLOOKUP(Production_Machine_1_Data_Entry!$D161,Data_Source!D:D, Data_Source!E:E, "Missing Value")</f>
        <v>PROJECT CHARLIE</v>
      </c>
      <c r="G161" s="7"/>
      <c r="H161" s="7">
        <f t="shared" si="5"/>
        <v>0</v>
      </c>
      <c r="I161" s="7">
        <f>SUM(Production_Machine_1_Data_Entry!$J161:$T161)</f>
        <v>0</v>
      </c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 spans="1:20" x14ac:dyDescent="0.25">
      <c r="A162" s="9">
        <f t="shared" ca="1" si="4"/>
        <v>46197</v>
      </c>
      <c r="B162" s="7" t="str">
        <f>_xlfn.XLOOKUP(Production_Machine_1_Data_Entry!$D162, Data_Source!D:D, Data_Source!A:A, "Missing Value")</f>
        <v>C3</v>
      </c>
      <c r="C162" s="7">
        <f>_xlfn.XLOOKUP(Production_Machine_1_Data_Entry!$D162, Data_Source!D:D,Data_Source!C:C, "Missing Value")</f>
        <v>113</v>
      </c>
      <c r="D162" s="7" t="s">
        <v>4</v>
      </c>
      <c r="E162" s="7" t="str">
        <f>_xlfn.XLOOKUP(Production_Machine_1_Data_Entry!$D162,Data_Source!D:D, Data_Source!B:B, "Missing Value")</f>
        <v>GREEN</v>
      </c>
      <c r="F162" s="7" t="str">
        <f>_xlfn.XLOOKUP(Production_Machine_1_Data_Entry!$D162,Data_Source!D:D, Data_Source!E:E, "Missing Value")</f>
        <v>PROJECT CHARLIE</v>
      </c>
      <c r="G162" s="7"/>
      <c r="H162" s="7">
        <f t="shared" si="5"/>
        <v>0</v>
      </c>
      <c r="I162" s="7">
        <f>SUM(Production_Machine_1_Data_Entry!$J162:$T162)</f>
        <v>0</v>
      </c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 spans="1:20" x14ac:dyDescent="0.25">
      <c r="A163" s="9">
        <f t="shared" ca="1" si="4"/>
        <v>46197</v>
      </c>
      <c r="B163" s="7" t="str">
        <f>_xlfn.XLOOKUP(Production_Machine_1_Data_Entry!$D163, Data_Source!D:D, Data_Source!A:A, "Missing Value")</f>
        <v>C3</v>
      </c>
      <c r="C163" s="7">
        <f>_xlfn.XLOOKUP(Production_Machine_1_Data_Entry!$D163, Data_Source!D:D,Data_Source!C:C, "Missing Value")</f>
        <v>113</v>
      </c>
      <c r="D163" s="7" t="s">
        <v>4</v>
      </c>
      <c r="E163" s="7" t="str">
        <f>_xlfn.XLOOKUP(Production_Machine_1_Data_Entry!$D163,Data_Source!D:D, Data_Source!B:B, "Missing Value")</f>
        <v>GREEN</v>
      </c>
      <c r="F163" s="7" t="str">
        <f>_xlfn.XLOOKUP(Production_Machine_1_Data_Entry!$D163,Data_Source!D:D, Data_Source!E:E, "Missing Value")</f>
        <v>PROJECT CHARLIE</v>
      </c>
      <c r="G163" s="7"/>
      <c r="H163" s="7">
        <f t="shared" si="5"/>
        <v>0</v>
      </c>
      <c r="I163" s="7">
        <f>SUM(Production_Machine_1_Data_Entry!$J163:$T163)</f>
        <v>0</v>
      </c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 spans="1:20" x14ac:dyDescent="0.25">
      <c r="A164" s="9">
        <f t="shared" ca="1" si="4"/>
        <v>46197</v>
      </c>
      <c r="B164" s="7" t="str">
        <f>_xlfn.XLOOKUP(Production_Machine_1_Data_Entry!$D164, Data_Source!D:D, Data_Source!A:A, "Missing Value")</f>
        <v>C3</v>
      </c>
      <c r="C164" s="7">
        <f>_xlfn.XLOOKUP(Production_Machine_1_Data_Entry!$D164, Data_Source!D:D,Data_Source!C:C, "Missing Value")</f>
        <v>113</v>
      </c>
      <c r="D164" s="7" t="s">
        <v>4</v>
      </c>
      <c r="E164" s="7" t="str">
        <f>_xlfn.XLOOKUP(Production_Machine_1_Data_Entry!$D164,Data_Source!D:D, Data_Source!B:B, "Missing Value")</f>
        <v>GREEN</v>
      </c>
      <c r="F164" s="7" t="str">
        <f>_xlfn.XLOOKUP(Production_Machine_1_Data_Entry!$D164,Data_Source!D:D, Data_Source!E:E, "Missing Value")</f>
        <v>PROJECT CHARLIE</v>
      </c>
      <c r="G164" s="7"/>
      <c r="H164" s="7">
        <f t="shared" si="5"/>
        <v>0</v>
      </c>
      <c r="I164" s="7">
        <f>SUM(Production_Machine_1_Data_Entry!$J164:$T164)</f>
        <v>0</v>
      </c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 spans="1:20" x14ac:dyDescent="0.25">
      <c r="A165" s="9">
        <f t="shared" ca="1" si="4"/>
        <v>46197</v>
      </c>
      <c r="B165" s="7" t="str">
        <f>_xlfn.XLOOKUP(Production_Machine_1_Data_Entry!$D165, Data_Source!D:D, Data_Source!A:A, "Missing Value")</f>
        <v>C3</v>
      </c>
      <c r="C165" s="7">
        <f>_xlfn.XLOOKUP(Production_Machine_1_Data_Entry!$D165, Data_Source!D:D,Data_Source!C:C, "Missing Value")</f>
        <v>113</v>
      </c>
      <c r="D165" s="7" t="s">
        <v>4</v>
      </c>
      <c r="E165" s="7" t="str">
        <f>_xlfn.XLOOKUP(Production_Machine_1_Data_Entry!$D165,Data_Source!D:D, Data_Source!B:B, "Missing Value")</f>
        <v>GREEN</v>
      </c>
      <c r="F165" s="7" t="str">
        <f>_xlfn.XLOOKUP(Production_Machine_1_Data_Entry!$D165,Data_Source!D:D, Data_Source!E:E, "Missing Value")</f>
        <v>PROJECT CHARLIE</v>
      </c>
      <c r="G165" s="7"/>
      <c r="H165" s="7">
        <f t="shared" si="5"/>
        <v>0</v>
      </c>
      <c r="I165" s="7">
        <f>SUM(Production_Machine_1_Data_Entry!$J165:$T165)</f>
        <v>0</v>
      </c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 spans="1:20" x14ac:dyDescent="0.25">
      <c r="A166" s="9">
        <f t="shared" ca="1" si="4"/>
        <v>46197</v>
      </c>
      <c r="B166" s="7" t="str">
        <f>_xlfn.XLOOKUP(Production_Machine_1_Data_Entry!$D166, Data_Source!D:D, Data_Source!A:A, "Missing Value")</f>
        <v>C3</v>
      </c>
      <c r="C166" s="7">
        <f>_xlfn.XLOOKUP(Production_Machine_1_Data_Entry!$D166, Data_Source!D:D,Data_Source!C:C, "Missing Value")</f>
        <v>113</v>
      </c>
      <c r="D166" s="7" t="s">
        <v>4</v>
      </c>
      <c r="E166" s="7" t="str">
        <f>_xlfn.XLOOKUP(Production_Machine_1_Data_Entry!$D166,Data_Source!D:D, Data_Source!B:B, "Missing Value")</f>
        <v>GREEN</v>
      </c>
      <c r="F166" s="7" t="str">
        <f>_xlfn.XLOOKUP(Production_Machine_1_Data_Entry!$D166,Data_Source!D:D, Data_Source!E:E, "Missing Value")</f>
        <v>PROJECT CHARLIE</v>
      </c>
      <c r="G166" s="7"/>
      <c r="H166" s="7">
        <f t="shared" si="5"/>
        <v>0</v>
      </c>
      <c r="I166" s="7">
        <f>SUM(Production_Machine_1_Data_Entry!$J166:$T166)</f>
        <v>0</v>
      </c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 spans="1:20" x14ac:dyDescent="0.25">
      <c r="A167" s="9">
        <f t="shared" ca="1" si="4"/>
        <v>46197</v>
      </c>
      <c r="B167" s="7" t="str">
        <f>_xlfn.XLOOKUP(Production_Machine_1_Data_Entry!$D167, Data_Source!D:D, Data_Source!A:A, "Missing Value")</f>
        <v>C3</v>
      </c>
      <c r="C167" s="7">
        <f>_xlfn.XLOOKUP(Production_Machine_1_Data_Entry!$D167, Data_Source!D:D,Data_Source!C:C, "Missing Value")</f>
        <v>113</v>
      </c>
      <c r="D167" s="7" t="s">
        <v>4</v>
      </c>
      <c r="E167" s="7" t="str">
        <f>_xlfn.XLOOKUP(Production_Machine_1_Data_Entry!$D167,Data_Source!D:D, Data_Source!B:B, "Missing Value")</f>
        <v>GREEN</v>
      </c>
      <c r="F167" s="7" t="str">
        <f>_xlfn.XLOOKUP(Production_Machine_1_Data_Entry!$D167,Data_Source!D:D, Data_Source!E:E, "Missing Value")</f>
        <v>PROJECT CHARLIE</v>
      </c>
      <c r="G167" s="7"/>
      <c r="H167" s="7">
        <f t="shared" si="5"/>
        <v>0</v>
      </c>
      <c r="I167" s="7">
        <f>SUM(Production_Machine_1_Data_Entry!$J167:$T167)</f>
        <v>0</v>
      </c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 spans="1:20" x14ac:dyDescent="0.25">
      <c r="A168" s="9">
        <f t="shared" ca="1" si="4"/>
        <v>46197</v>
      </c>
      <c r="B168" s="7" t="str">
        <f>_xlfn.XLOOKUP(Production_Machine_1_Data_Entry!$D168, Data_Source!D:D, Data_Source!A:A, "Missing Value")</f>
        <v>C3</v>
      </c>
      <c r="C168" s="7">
        <f>_xlfn.XLOOKUP(Production_Machine_1_Data_Entry!$D168, Data_Source!D:D,Data_Source!C:C, "Missing Value")</f>
        <v>113</v>
      </c>
      <c r="D168" s="7" t="s">
        <v>4</v>
      </c>
      <c r="E168" s="7" t="str">
        <f>_xlfn.XLOOKUP(Production_Machine_1_Data_Entry!$D168,Data_Source!D:D, Data_Source!B:B, "Missing Value")</f>
        <v>GREEN</v>
      </c>
      <c r="F168" s="7" t="str">
        <f>_xlfn.XLOOKUP(Production_Machine_1_Data_Entry!$D168,Data_Source!D:D, Data_Source!E:E, "Missing Value")</f>
        <v>PROJECT CHARLIE</v>
      </c>
      <c r="G168" s="7"/>
      <c r="H168" s="7">
        <f t="shared" si="5"/>
        <v>0</v>
      </c>
      <c r="I168" s="7">
        <f>SUM(Production_Machine_1_Data_Entry!$J168:$T168)</f>
        <v>0</v>
      </c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 spans="1:20" x14ac:dyDescent="0.25">
      <c r="A169" s="9">
        <f t="shared" ca="1" si="4"/>
        <v>46197</v>
      </c>
      <c r="B169" s="7" t="str">
        <f>_xlfn.XLOOKUP(Production_Machine_1_Data_Entry!$D169, Data_Source!D:D, Data_Source!A:A, "Missing Value")</f>
        <v>C3</v>
      </c>
      <c r="C169" s="7">
        <f>_xlfn.XLOOKUP(Production_Machine_1_Data_Entry!$D169, Data_Source!D:D,Data_Source!C:C, "Missing Value")</f>
        <v>113</v>
      </c>
      <c r="D169" s="7" t="s">
        <v>4</v>
      </c>
      <c r="E169" s="7" t="str">
        <f>_xlfn.XLOOKUP(Production_Machine_1_Data_Entry!$D169,Data_Source!D:D, Data_Source!B:B, "Missing Value")</f>
        <v>GREEN</v>
      </c>
      <c r="F169" s="7" t="str">
        <f>_xlfn.XLOOKUP(Production_Machine_1_Data_Entry!$D169,Data_Source!D:D, Data_Source!E:E, "Missing Value")</f>
        <v>PROJECT CHARLIE</v>
      </c>
      <c r="G169" s="7"/>
      <c r="H169" s="7">
        <f t="shared" si="5"/>
        <v>0</v>
      </c>
      <c r="I169" s="7">
        <f>SUM(Production_Machine_1_Data_Entry!$J169:$T169)</f>
        <v>0</v>
      </c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 spans="1:20" x14ac:dyDescent="0.25">
      <c r="A170" s="9">
        <f t="shared" ca="1" si="4"/>
        <v>46197</v>
      </c>
      <c r="B170" s="7" t="str">
        <f>_xlfn.XLOOKUP(Production_Machine_1_Data_Entry!$D170, Data_Source!D:D, Data_Source!A:A, "Missing Value")</f>
        <v>C3</v>
      </c>
      <c r="C170" s="7">
        <f>_xlfn.XLOOKUP(Production_Machine_1_Data_Entry!$D170, Data_Source!D:D,Data_Source!C:C, "Missing Value")</f>
        <v>113</v>
      </c>
      <c r="D170" s="7" t="s">
        <v>4</v>
      </c>
      <c r="E170" s="7" t="str">
        <f>_xlfn.XLOOKUP(Production_Machine_1_Data_Entry!$D170,Data_Source!D:D, Data_Source!B:B, "Missing Value")</f>
        <v>GREEN</v>
      </c>
      <c r="F170" s="7" t="str">
        <f>_xlfn.XLOOKUP(Production_Machine_1_Data_Entry!$D170,Data_Source!D:D, Data_Source!E:E, "Missing Value")</f>
        <v>PROJECT CHARLIE</v>
      </c>
      <c r="G170" s="7"/>
      <c r="H170" s="7">
        <f t="shared" si="5"/>
        <v>0</v>
      </c>
      <c r="I170" s="7">
        <f>SUM(Production_Machine_1_Data_Entry!$J170:$T170)</f>
        <v>0</v>
      </c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 spans="1:20" x14ac:dyDescent="0.25">
      <c r="A171" s="9">
        <f t="shared" ca="1" si="4"/>
        <v>46197</v>
      </c>
      <c r="B171" s="7" t="str">
        <f>_xlfn.XLOOKUP(Production_Machine_1_Data_Entry!$D171, Data_Source!D:D, Data_Source!A:A, "Missing Value")</f>
        <v>C3</v>
      </c>
      <c r="C171" s="7">
        <f>_xlfn.XLOOKUP(Production_Machine_1_Data_Entry!$D171, Data_Source!D:D,Data_Source!C:C, "Missing Value")</f>
        <v>113</v>
      </c>
      <c r="D171" s="7" t="s">
        <v>4</v>
      </c>
      <c r="E171" s="7" t="str">
        <f>_xlfn.XLOOKUP(Production_Machine_1_Data_Entry!$D171,Data_Source!D:D, Data_Source!B:B, "Missing Value")</f>
        <v>GREEN</v>
      </c>
      <c r="F171" s="7" t="str">
        <f>_xlfn.XLOOKUP(Production_Machine_1_Data_Entry!$D171,Data_Source!D:D, Data_Source!E:E, "Missing Value")</f>
        <v>PROJECT CHARLIE</v>
      </c>
      <c r="G171" s="7"/>
      <c r="H171" s="7">
        <f t="shared" si="5"/>
        <v>0</v>
      </c>
      <c r="I171" s="7">
        <f>SUM(Production_Machine_1_Data_Entry!$J171:$T171)</f>
        <v>0</v>
      </c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 spans="1:20" x14ac:dyDescent="0.25">
      <c r="A172" s="9">
        <f t="shared" ca="1" si="4"/>
        <v>46197</v>
      </c>
      <c r="B172" s="7" t="str">
        <f>_xlfn.XLOOKUP(Production_Machine_1_Data_Entry!$D172, Data_Source!D:D, Data_Source!A:A, "Missing Value")</f>
        <v>C3</v>
      </c>
      <c r="C172" s="7">
        <f>_xlfn.XLOOKUP(Production_Machine_1_Data_Entry!$D172, Data_Source!D:D,Data_Source!C:C, "Missing Value")</f>
        <v>113</v>
      </c>
      <c r="D172" s="7" t="s">
        <v>4</v>
      </c>
      <c r="E172" s="7" t="str">
        <f>_xlfn.XLOOKUP(Production_Machine_1_Data_Entry!$D172,Data_Source!D:D, Data_Source!B:B, "Missing Value")</f>
        <v>GREEN</v>
      </c>
      <c r="F172" s="7" t="str">
        <f>_xlfn.XLOOKUP(Production_Machine_1_Data_Entry!$D172,Data_Source!D:D, Data_Source!E:E, "Missing Value")</f>
        <v>PROJECT CHARLIE</v>
      </c>
      <c r="G172" s="7"/>
      <c r="H172" s="7">
        <f t="shared" si="5"/>
        <v>0</v>
      </c>
      <c r="I172" s="7">
        <f>SUM(Production_Machine_1_Data_Entry!$J172:$T172)</f>
        <v>0</v>
      </c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 spans="1:20" x14ac:dyDescent="0.25">
      <c r="A173" s="9">
        <f t="shared" ca="1" si="4"/>
        <v>46197</v>
      </c>
      <c r="B173" s="7" t="str">
        <f>_xlfn.XLOOKUP(Production_Machine_1_Data_Entry!$D173, Data_Source!D:D, Data_Source!A:A, "Missing Value")</f>
        <v>C3</v>
      </c>
      <c r="C173" s="7">
        <f>_xlfn.XLOOKUP(Production_Machine_1_Data_Entry!$D173, Data_Source!D:D,Data_Source!C:C, "Missing Value")</f>
        <v>113</v>
      </c>
      <c r="D173" s="7" t="s">
        <v>4</v>
      </c>
      <c r="E173" s="7" t="str">
        <f>_xlfn.XLOOKUP(Production_Machine_1_Data_Entry!$D173,Data_Source!D:D, Data_Source!B:B, "Missing Value")</f>
        <v>GREEN</v>
      </c>
      <c r="F173" s="7" t="str">
        <f>_xlfn.XLOOKUP(Production_Machine_1_Data_Entry!$D173,Data_Source!D:D, Data_Source!E:E, "Missing Value")</f>
        <v>PROJECT CHARLIE</v>
      </c>
      <c r="G173" s="7"/>
      <c r="H173" s="7">
        <f t="shared" si="5"/>
        <v>0</v>
      </c>
      <c r="I173" s="7">
        <f>SUM(Production_Machine_1_Data_Entry!$J173:$T173)</f>
        <v>0</v>
      </c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 spans="1:20" x14ac:dyDescent="0.25">
      <c r="A174" s="9">
        <f t="shared" ca="1" si="4"/>
        <v>46197</v>
      </c>
      <c r="B174" s="7" t="str">
        <f>_xlfn.XLOOKUP(Production_Machine_1_Data_Entry!$D174, Data_Source!D:D, Data_Source!A:A, "Missing Value")</f>
        <v>C3</v>
      </c>
      <c r="C174" s="7">
        <f>_xlfn.XLOOKUP(Production_Machine_1_Data_Entry!$D174, Data_Source!D:D,Data_Source!C:C, "Missing Value")</f>
        <v>113</v>
      </c>
      <c r="D174" s="7" t="s">
        <v>4</v>
      </c>
      <c r="E174" s="7" t="str">
        <f>_xlfn.XLOOKUP(Production_Machine_1_Data_Entry!$D174,Data_Source!D:D, Data_Source!B:B, "Missing Value")</f>
        <v>GREEN</v>
      </c>
      <c r="F174" s="7" t="str">
        <f>_xlfn.XLOOKUP(Production_Machine_1_Data_Entry!$D174,Data_Source!D:D, Data_Source!E:E, "Missing Value")</f>
        <v>PROJECT CHARLIE</v>
      </c>
      <c r="G174" s="7"/>
      <c r="H174" s="7">
        <f t="shared" si="5"/>
        <v>0</v>
      </c>
      <c r="I174" s="7">
        <f>SUM(Production_Machine_1_Data_Entry!$J174:$T174)</f>
        <v>0</v>
      </c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 spans="1:20" x14ac:dyDescent="0.25">
      <c r="A175" s="9">
        <f t="shared" ca="1" si="4"/>
        <v>46197</v>
      </c>
      <c r="B175" s="7" t="str">
        <f>_xlfn.XLOOKUP(Production_Machine_1_Data_Entry!$D175, Data_Source!D:D, Data_Source!A:A, "Missing Value")</f>
        <v>C3</v>
      </c>
      <c r="C175" s="7">
        <f>_xlfn.XLOOKUP(Production_Machine_1_Data_Entry!$D175, Data_Source!D:D,Data_Source!C:C, "Missing Value")</f>
        <v>113</v>
      </c>
      <c r="D175" s="7" t="s">
        <v>4</v>
      </c>
      <c r="E175" s="7" t="str">
        <f>_xlfn.XLOOKUP(Production_Machine_1_Data_Entry!$D175,Data_Source!D:D, Data_Source!B:B, "Missing Value")</f>
        <v>GREEN</v>
      </c>
      <c r="F175" s="7" t="str">
        <f>_xlfn.XLOOKUP(Production_Machine_1_Data_Entry!$D175,Data_Source!D:D, Data_Source!E:E, "Missing Value")</f>
        <v>PROJECT CHARLIE</v>
      </c>
      <c r="G175" s="7"/>
      <c r="H175" s="7">
        <f t="shared" si="5"/>
        <v>0</v>
      </c>
      <c r="I175" s="7">
        <f>SUM(Production_Machine_1_Data_Entry!$J175:$T175)</f>
        <v>0</v>
      </c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 spans="1:20" x14ac:dyDescent="0.25">
      <c r="A176" s="9">
        <f t="shared" ca="1" si="4"/>
        <v>46197</v>
      </c>
      <c r="B176" s="7" t="str">
        <f>_xlfn.XLOOKUP(Production_Machine_1_Data_Entry!$D176, Data_Source!D:D, Data_Source!A:A, "Missing Value")</f>
        <v>C3</v>
      </c>
      <c r="C176" s="7">
        <f>_xlfn.XLOOKUP(Production_Machine_1_Data_Entry!$D176, Data_Source!D:D,Data_Source!C:C, "Missing Value")</f>
        <v>113</v>
      </c>
      <c r="D176" s="7" t="s">
        <v>4</v>
      </c>
      <c r="E176" s="7" t="str">
        <f>_xlfn.XLOOKUP(Production_Machine_1_Data_Entry!$D176,Data_Source!D:D, Data_Source!B:B, "Missing Value")</f>
        <v>GREEN</v>
      </c>
      <c r="F176" s="7" t="str">
        <f>_xlfn.XLOOKUP(Production_Machine_1_Data_Entry!$D176,Data_Source!D:D, Data_Source!E:E, "Missing Value")</f>
        <v>PROJECT CHARLIE</v>
      </c>
      <c r="G176" s="7"/>
      <c r="H176" s="7">
        <f t="shared" si="5"/>
        <v>0</v>
      </c>
      <c r="I176" s="7">
        <f>SUM(Production_Machine_1_Data_Entry!$J176:$T176)</f>
        <v>0</v>
      </c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 spans="1:20" x14ac:dyDescent="0.25">
      <c r="A177" s="9">
        <f t="shared" ca="1" si="4"/>
        <v>46197</v>
      </c>
      <c r="B177" s="7" t="str">
        <f>_xlfn.XLOOKUP(Production_Machine_1_Data_Entry!$D177, Data_Source!D:D, Data_Source!A:A, "Missing Value")</f>
        <v>C3</v>
      </c>
      <c r="C177" s="7">
        <f>_xlfn.XLOOKUP(Production_Machine_1_Data_Entry!$D177, Data_Source!D:D,Data_Source!C:C, "Missing Value")</f>
        <v>113</v>
      </c>
      <c r="D177" s="7" t="s">
        <v>4</v>
      </c>
      <c r="E177" s="7" t="str">
        <f>_xlfn.XLOOKUP(Production_Machine_1_Data_Entry!$D177,Data_Source!D:D, Data_Source!B:B, "Missing Value")</f>
        <v>GREEN</v>
      </c>
      <c r="F177" s="7" t="str">
        <f>_xlfn.XLOOKUP(Production_Machine_1_Data_Entry!$D177,Data_Source!D:D, Data_Source!E:E, "Missing Value")</f>
        <v>PROJECT CHARLIE</v>
      </c>
      <c r="G177" s="7"/>
      <c r="H177" s="7">
        <f t="shared" si="5"/>
        <v>0</v>
      </c>
      <c r="I177" s="7">
        <f>SUM(Production_Machine_1_Data_Entry!$J177:$T177)</f>
        <v>0</v>
      </c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 spans="1:20" x14ac:dyDescent="0.25">
      <c r="A178" s="9">
        <f t="shared" ca="1" si="4"/>
        <v>46197</v>
      </c>
      <c r="B178" s="7" t="str">
        <f>_xlfn.XLOOKUP(Production_Machine_1_Data_Entry!$D178, Data_Source!D:D, Data_Source!A:A, "Missing Value")</f>
        <v>C3</v>
      </c>
      <c r="C178" s="7">
        <f>_xlfn.XLOOKUP(Production_Machine_1_Data_Entry!$D178, Data_Source!D:D,Data_Source!C:C, "Missing Value")</f>
        <v>113</v>
      </c>
      <c r="D178" s="7" t="s">
        <v>4</v>
      </c>
      <c r="E178" s="7" t="str">
        <f>_xlfn.XLOOKUP(Production_Machine_1_Data_Entry!$D178,Data_Source!D:D, Data_Source!B:B, "Missing Value")</f>
        <v>GREEN</v>
      </c>
      <c r="F178" s="7" t="str">
        <f>_xlfn.XLOOKUP(Production_Machine_1_Data_Entry!$D178,Data_Source!D:D, Data_Source!E:E, "Missing Value")</f>
        <v>PROJECT CHARLIE</v>
      </c>
      <c r="G178" s="7"/>
      <c r="H178" s="7">
        <f t="shared" si="5"/>
        <v>0</v>
      </c>
      <c r="I178" s="7">
        <f>SUM(Production_Machine_1_Data_Entry!$J178:$T178)</f>
        <v>0</v>
      </c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 spans="1:20" x14ac:dyDescent="0.25">
      <c r="A179" s="9">
        <f t="shared" ca="1" si="4"/>
        <v>46197</v>
      </c>
      <c r="B179" s="7" t="str">
        <f>_xlfn.XLOOKUP(Production_Machine_1_Data_Entry!$D179, Data_Source!D:D, Data_Source!A:A, "Missing Value")</f>
        <v>C3</v>
      </c>
      <c r="C179" s="7">
        <f>_xlfn.XLOOKUP(Production_Machine_1_Data_Entry!$D179, Data_Source!D:D,Data_Source!C:C, "Missing Value")</f>
        <v>113</v>
      </c>
      <c r="D179" s="7" t="s">
        <v>4</v>
      </c>
      <c r="E179" s="7" t="str">
        <f>_xlfn.XLOOKUP(Production_Machine_1_Data_Entry!$D179,Data_Source!D:D, Data_Source!B:B, "Missing Value")</f>
        <v>GREEN</v>
      </c>
      <c r="F179" s="7" t="str">
        <f>_xlfn.XLOOKUP(Production_Machine_1_Data_Entry!$D179,Data_Source!D:D, Data_Source!E:E, "Missing Value")</f>
        <v>PROJECT CHARLIE</v>
      </c>
      <c r="G179" s="7"/>
      <c r="H179" s="7">
        <f t="shared" si="5"/>
        <v>0</v>
      </c>
      <c r="I179" s="7">
        <f>SUM(Production_Machine_1_Data_Entry!$J179:$T179)</f>
        <v>0</v>
      </c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 spans="1:20" x14ac:dyDescent="0.25">
      <c r="A180" s="9">
        <f t="shared" ca="1" si="4"/>
        <v>46197</v>
      </c>
      <c r="B180" s="7" t="str">
        <f>_xlfn.XLOOKUP(Production_Machine_1_Data_Entry!$D180, Data_Source!D:D, Data_Source!A:A, "Missing Value")</f>
        <v>C3</v>
      </c>
      <c r="C180" s="7">
        <f>_xlfn.XLOOKUP(Production_Machine_1_Data_Entry!$D180, Data_Source!D:D,Data_Source!C:C, "Missing Value")</f>
        <v>113</v>
      </c>
      <c r="D180" s="7" t="s">
        <v>4</v>
      </c>
      <c r="E180" s="7" t="str">
        <f>_xlfn.XLOOKUP(Production_Machine_1_Data_Entry!$D180,Data_Source!D:D, Data_Source!B:B, "Missing Value")</f>
        <v>GREEN</v>
      </c>
      <c r="F180" s="7" t="str">
        <f>_xlfn.XLOOKUP(Production_Machine_1_Data_Entry!$D180,Data_Source!D:D, Data_Source!E:E, "Missing Value")</f>
        <v>PROJECT CHARLIE</v>
      </c>
      <c r="G180" s="7"/>
      <c r="H180" s="7">
        <f t="shared" si="5"/>
        <v>0</v>
      </c>
      <c r="I180" s="7">
        <f>SUM(Production_Machine_1_Data_Entry!$J180:$T180)</f>
        <v>0</v>
      </c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 spans="1:20" x14ac:dyDescent="0.25">
      <c r="A181" s="9">
        <f t="shared" ca="1" si="4"/>
        <v>46197</v>
      </c>
      <c r="B181" s="7" t="str">
        <f>_xlfn.XLOOKUP(Production_Machine_1_Data_Entry!$D181, Data_Source!D:D, Data_Source!A:A, "Missing Value")</f>
        <v>C3</v>
      </c>
      <c r="C181" s="7">
        <f>_xlfn.XLOOKUP(Production_Machine_1_Data_Entry!$D181, Data_Source!D:D,Data_Source!C:C, "Missing Value")</f>
        <v>113</v>
      </c>
      <c r="D181" s="7" t="s">
        <v>4</v>
      </c>
      <c r="E181" s="7" t="str">
        <f>_xlfn.XLOOKUP(Production_Machine_1_Data_Entry!$D181,Data_Source!D:D, Data_Source!B:B, "Missing Value")</f>
        <v>GREEN</v>
      </c>
      <c r="F181" s="7" t="str">
        <f>_xlfn.XLOOKUP(Production_Machine_1_Data_Entry!$D181,Data_Source!D:D, Data_Source!E:E, "Missing Value")</f>
        <v>PROJECT CHARLIE</v>
      </c>
      <c r="G181" s="7"/>
      <c r="H181" s="7">
        <f t="shared" si="5"/>
        <v>0</v>
      </c>
      <c r="I181" s="7">
        <f>SUM(Production_Machine_1_Data_Entry!$J181:$T181)</f>
        <v>0</v>
      </c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 spans="1:20" x14ac:dyDescent="0.25">
      <c r="A182" s="9">
        <f t="shared" ca="1" si="4"/>
        <v>46197</v>
      </c>
      <c r="B182" s="7" t="str">
        <f>_xlfn.XLOOKUP(Production_Machine_1_Data_Entry!$D182, Data_Source!D:D, Data_Source!A:A, "Missing Value")</f>
        <v>C3</v>
      </c>
      <c r="C182" s="7">
        <f>_xlfn.XLOOKUP(Production_Machine_1_Data_Entry!$D182, Data_Source!D:D,Data_Source!C:C, "Missing Value")</f>
        <v>113</v>
      </c>
      <c r="D182" s="7" t="s">
        <v>4</v>
      </c>
      <c r="E182" s="7" t="str">
        <f>_xlfn.XLOOKUP(Production_Machine_1_Data_Entry!$D182,Data_Source!D:D, Data_Source!B:B, "Missing Value")</f>
        <v>GREEN</v>
      </c>
      <c r="F182" s="7" t="str">
        <f>_xlfn.XLOOKUP(Production_Machine_1_Data_Entry!$D182,Data_Source!D:D, Data_Source!E:E, "Missing Value")</f>
        <v>PROJECT CHARLIE</v>
      </c>
      <c r="G182" s="7"/>
      <c r="H182" s="7">
        <f t="shared" si="5"/>
        <v>0</v>
      </c>
      <c r="I182" s="7">
        <f>SUM(Production_Machine_1_Data_Entry!$J182:$T182)</f>
        <v>0</v>
      </c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 spans="1:20" x14ac:dyDescent="0.25">
      <c r="A183" s="9">
        <f t="shared" ca="1" si="4"/>
        <v>46197</v>
      </c>
      <c r="B183" s="7" t="str">
        <f>_xlfn.XLOOKUP(Production_Machine_1_Data_Entry!$D183, Data_Source!D:D, Data_Source!A:A, "Missing Value")</f>
        <v>C3</v>
      </c>
      <c r="C183" s="7">
        <f>_xlfn.XLOOKUP(Production_Machine_1_Data_Entry!$D183, Data_Source!D:D,Data_Source!C:C, "Missing Value")</f>
        <v>113</v>
      </c>
      <c r="D183" s="7" t="s">
        <v>4</v>
      </c>
      <c r="E183" s="7" t="str">
        <f>_xlfn.XLOOKUP(Production_Machine_1_Data_Entry!$D183,Data_Source!D:D, Data_Source!B:B, "Missing Value")</f>
        <v>GREEN</v>
      </c>
      <c r="F183" s="7" t="str">
        <f>_xlfn.XLOOKUP(Production_Machine_1_Data_Entry!$D183,Data_Source!D:D, Data_Source!E:E, "Missing Value")</f>
        <v>PROJECT CHARLIE</v>
      </c>
      <c r="G183" s="7"/>
      <c r="H183" s="7">
        <f t="shared" si="5"/>
        <v>0</v>
      </c>
      <c r="I183" s="7">
        <f>SUM(Production_Machine_1_Data_Entry!$J183:$T183)</f>
        <v>0</v>
      </c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 spans="1:20" x14ac:dyDescent="0.25">
      <c r="A184" s="9">
        <f t="shared" ca="1" si="4"/>
        <v>46197</v>
      </c>
      <c r="B184" s="7" t="str">
        <f>_xlfn.XLOOKUP(Production_Machine_1_Data_Entry!$D184, Data_Source!D:D, Data_Source!A:A, "Missing Value")</f>
        <v>C3</v>
      </c>
      <c r="C184" s="7">
        <f>_xlfn.XLOOKUP(Production_Machine_1_Data_Entry!$D184, Data_Source!D:D,Data_Source!C:C, "Missing Value")</f>
        <v>113</v>
      </c>
      <c r="D184" s="7" t="s">
        <v>4</v>
      </c>
      <c r="E184" s="7" t="str">
        <f>_xlfn.XLOOKUP(Production_Machine_1_Data_Entry!$D184,Data_Source!D:D, Data_Source!B:B, "Missing Value")</f>
        <v>GREEN</v>
      </c>
      <c r="F184" s="7" t="str">
        <f>_xlfn.XLOOKUP(Production_Machine_1_Data_Entry!$D184,Data_Source!D:D, Data_Source!E:E, "Missing Value")</f>
        <v>PROJECT CHARLIE</v>
      </c>
      <c r="G184" s="7"/>
      <c r="H184" s="7">
        <f t="shared" si="5"/>
        <v>0</v>
      </c>
      <c r="I184" s="7">
        <f>SUM(Production_Machine_1_Data_Entry!$J184:$T184)</f>
        <v>0</v>
      </c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 spans="1:20" x14ac:dyDescent="0.25">
      <c r="A185" s="9">
        <f t="shared" ca="1" si="4"/>
        <v>46197</v>
      </c>
      <c r="B185" s="7" t="str">
        <f>_xlfn.XLOOKUP(Production_Machine_1_Data_Entry!$D185, Data_Source!D:D, Data_Source!A:A, "Missing Value")</f>
        <v>C3</v>
      </c>
      <c r="C185" s="7">
        <f>_xlfn.XLOOKUP(Production_Machine_1_Data_Entry!$D185, Data_Source!D:D,Data_Source!C:C, "Missing Value")</f>
        <v>113</v>
      </c>
      <c r="D185" s="7" t="s">
        <v>4</v>
      </c>
      <c r="E185" s="7" t="str">
        <f>_xlfn.XLOOKUP(Production_Machine_1_Data_Entry!$D185,Data_Source!D:D, Data_Source!B:B, "Missing Value")</f>
        <v>GREEN</v>
      </c>
      <c r="F185" s="7" t="str">
        <f>_xlfn.XLOOKUP(Production_Machine_1_Data_Entry!$D185,Data_Source!D:D, Data_Source!E:E, "Missing Value")</f>
        <v>PROJECT CHARLIE</v>
      </c>
      <c r="G185" s="7"/>
      <c r="H185" s="7">
        <f t="shared" si="5"/>
        <v>0</v>
      </c>
      <c r="I185" s="7">
        <f>SUM(Production_Machine_1_Data_Entry!$J185:$T185)</f>
        <v>0</v>
      </c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 spans="1:20" x14ac:dyDescent="0.25">
      <c r="A186" s="9">
        <f t="shared" ca="1" si="4"/>
        <v>46197</v>
      </c>
      <c r="B186" s="7" t="str">
        <f>_xlfn.XLOOKUP(Production_Machine_1_Data_Entry!$D186, Data_Source!D:D, Data_Source!A:A, "Missing Value")</f>
        <v>C3</v>
      </c>
      <c r="C186" s="7">
        <f>_xlfn.XLOOKUP(Production_Machine_1_Data_Entry!$D186, Data_Source!D:D,Data_Source!C:C, "Missing Value")</f>
        <v>113</v>
      </c>
      <c r="D186" s="7" t="s">
        <v>4</v>
      </c>
      <c r="E186" s="7" t="str">
        <f>_xlfn.XLOOKUP(Production_Machine_1_Data_Entry!$D186,Data_Source!D:D, Data_Source!B:B, "Missing Value")</f>
        <v>GREEN</v>
      </c>
      <c r="F186" s="7" t="str">
        <f>_xlfn.XLOOKUP(Production_Machine_1_Data_Entry!$D186,Data_Source!D:D, Data_Source!E:E, "Missing Value")</f>
        <v>PROJECT CHARLIE</v>
      </c>
      <c r="G186" s="7"/>
      <c r="H186" s="7">
        <f t="shared" si="5"/>
        <v>0</v>
      </c>
      <c r="I186" s="7">
        <f>SUM(Production_Machine_1_Data_Entry!$J186:$T186)</f>
        <v>0</v>
      </c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 spans="1:20" x14ac:dyDescent="0.25">
      <c r="A187" s="9">
        <f t="shared" ca="1" si="4"/>
        <v>46197</v>
      </c>
      <c r="B187" s="7" t="str">
        <f>_xlfn.XLOOKUP(Production_Machine_1_Data_Entry!$D187, Data_Source!D:D, Data_Source!A:A, "Missing Value")</f>
        <v>C3</v>
      </c>
      <c r="C187" s="7">
        <f>_xlfn.XLOOKUP(Production_Machine_1_Data_Entry!$D187, Data_Source!D:D,Data_Source!C:C, "Missing Value")</f>
        <v>113</v>
      </c>
      <c r="D187" s="7" t="s">
        <v>4</v>
      </c>
      <c r="E187" s="7" t="str">
        <f>_xlfn.XLOOKUP(Production_Machine_1_Data_Entry!$D187,Data_Source!D:D, Data_Source!B:B, "Missing Value")</f>
        <v>GREEN</v>
      </c>
      <c r="F187" s="7" t="str">
        <f>_xlfn.XLOOKUP(Production_Machine_1_Data_Entry!$D187,Data_Source!D:D, Data_Source!E:E, "Missing Value")</f>
        <v>PROJECT CHARLIE</v>
      </c>
      <c r="G187" s="7"/>
      <c r="H187" s="7">
        <f t="shared" si="5"/>
        <v>0</v>
      </c>
      <c r="I187" s="7">
        <f>SUM(Production_Machine_1_Data_Entry!$J187:$T187)</f>
        <v>0</v>
      </c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 spans="1:20" x14ac:dyDescent="0.25">
      <c r="A188" s="9">
        <f t="shared" ca="1" si="4"/>
        <v>46197</v>
      </c>
      <c r="B188" s="7" t="str">
        <f>_xlfn.XLOOKUP(Production_Machine_1_Data_Entry!$D188, Data_Source!D:D, Data_Source!A:A, "Missing Value")</f>
        <v>C3</v>
      </c>
      <c r="C188" s="7">
        <f>_xlfn.XLOOKUP(Production_Machine_1_Data_Entry!$D188, Data_Source!D:D,Data_Source!C:C, "Missing Value")</f>
        <v>113</v>
      </c>
      <c r="D188" s="7" t="s">
        <v>4</v>
      </c>
      <c r="E188" s="7" t="str">
        <f>_xlfn.XLOOKUP(Production_Machine_1_Data_Entry!$D188,Data_Source!D:D, Data_Source!B:B, "Missing Value")</f>
        <v>GREEN</v>
      </c>
      <c r="F188" s="7" t="str">
        <f>_xlfn.XLOOKUP(Production_Machine_1_Data_Entry!$D188,Data_Source!D:D, Data_Source!E:E, "Missing Value")</f>
        <v>PROJECT CHARLIE</v>
      </c>
      <c r="G188" s="7"/>
      <c r="H188" s="7">
        <f t="shared" si="5"/>
        <v>0</v>
      </c>
      <c r="I188" s="7">
        <f>SUM(Production_Machine_1_Data_Entry!$J188:$T188)</f>
        <v>0</v>
      </c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 spans="1:20" x14ac:dyDescent="0.25">
      <c r="A189" s="9">
        <f t="shared" ca="1" si="4"/>
        <v>46197</v>
      </c>
      <c r="B189" s="7" t="str">
        <f>_xlfn.XLOOKUP(Production_Machine_1_Data_Entry!$D189, Data_Source!D:D, Data_Source!A:A, "Missing Value")</f>
        <v>C3</v>
      </c>
      <c r="C189" s="7">
        <f>_xlfn.XLOOKUP(Production_Machine_1_Data_Entry!$D189, Data_Source!D:D,Data_Source!C:C, "Missing Value")</f>
        <v>113</v>
      </c>
      <c r="D189" s="7" t="s">
        <v>4</v>
      </c>
      <c r="E189" s="7" t="str">
        <f>_xlfn.XLOOKUP(Production_Machine_1_Data_Entry!$D189,Data_Source!D:D, Data_Source!B:B, "Missing Value")</f>
        <v>GREEN</v>
      </c>
      <c r="F189" s="7" t="str">
        <f>_xlfn.XLOOKUP(Production_Machine_1_Data_Entry!$D189,Data_Source!D:D, Data_Source!E:E, "Missing Value")</f>
        <v>PROJECT CHARLIE</v>
      </c>
      <c r="G189" s="7"/>
      <c r="H189" s="7">
        <f t="shared" si="5"/>
        <v>0</v>
      </c>
      <c r="I189" s="7">
        <f>SUM(Production_Machine_1_Data_Entry!$J189:$T189)</f>
        <v>0</v>
      </c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 spans="1:20" x14ac:dyDescent="0.25">
      <c r="A190" s="9">
        <f t="shared" ca="1" si="4"/>
        <v>46197</v>
      </c>
      <c r="B190" s="7" t="str">
        <f>_xlfn.XLOOKUP(Production_Machine_1_Data_Entry!$D190, Data_Source!D:D, Data_Source!A:A, "Missing Value")</f>
        <v>C3</v>
      </c>
      <c r="C190" s="7">
        <f>_xlfn.XLOOKUP(Production_Machine_1_Data_Entry!$D190, Data_Source!D:D,Data_Source!C:C, "Missing Value")</f>
        <v>113</v>
      </c>
      <c r="D190" s="7" t="s">
        <v>4</v>
      </c>
      <c r="E190" s="7" t="str">
        <f>_xlfn.XLOOKUP(Production_Machine_1_Data_Entry!$D190,Data_Source!D:D, Data_Source!B:B, "Missing Value")</f>
        <v>GREEN</v>
      </c>
      <c r="F190" s="7" t="str">
        <f>_xlfn.XLOOKUP(Production_Machine_1_Data_Entry!$D190,Data_Source!D:D, Data_Source!E:E, "Missing Value")</f>
        <v>PROJECT CHARLIE</v>
      </c>
      <c r="G190" s="7"/>
      <c r="H190" s="7">
        <f t="shared" si="5"/>
        <v>0</v>
      </c>
      <c r="I190" s="7">
        <f>SUM(Production_Machine_1_Data_Entry!$J190:$T190)</f>
        <v>0</v>
      </c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 spans="1:20" x14ac:dyDescent="0.25">
      <c r="A191" s="9">
        <f t="shared" ca="1" si="4"/>
        <v>46197</v>
      </c>
      <c r="B191" s="7" t="str">
        <f>_xlfn.XLOOKUP(Production_Machine_1_Data_Entry!$D191, Data_Source!D:D, Data_Source!A:A, "Missing Value")</f>
        <v>C3</v>
      </c>
      <c r="C191" s="7">
        <f>_xlfn.XLOOKUP(Production_Machine_1_Data_Entry!$D191, Data_Source!D:D,Data_Source!C:C, "Missing Value")</f>
        <v>113</v>
      </c>
      <c r="D191" s="7" t="s">
        <v>4</v>
      </c>
      <c r="E191" s="7" t="str">
        <f>_xlfn.XLOOKUP(Production_Machine_1_Data_Entry!$D191,Data_Source!D:D, Data_Source!B:B, "Missing Value")</f>
        <v>GREEN</v>
      </c>
      <c r="F191" s="7" t="str">
        <f>_xlfn.XLOOKUP(Production_Machine_1_Data_Entry!$D191,Data_Source!D:D, Data_Source!E:E, "Missing Value")</f>
        <v>PROJECT CHARLIE</v>
      </c>
      <c r="G191" s="7"/>
      <c r="H191" s="7">
        <f t="shared" si="5"/>
        <v>0</v>
      </c>
      <c r="I191" s="7">
        <f>SUM(Production_Machine_1_Data_Entry!$J191:$T191)</f>
        <v>0</v>
      </c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 spans="1:20" x14ac:dyDescent="0.25">
      <c r="A192" s="9">
        <f t="shared" ca="1" si="4"/>
        <v>46197</v>
      </c>
      <c r="B192" s="7" t="str">
        <f>_xlfn.XLOOKUP(Production_Machine_1_Data_Entry!$D192, Data_Source!D:D, Data_Source!A:A, "Missing Value")</f>
        <v>C3</v>
      </c>
      <c r="C192" s="7">
        <f>_xlfn.XLOOKUP(Production_Machine_1_Data_Entry!$D192, Data_Source!D:D,Data_Source!C:C, "Missing Value")</f>
        <v>113</v>
      </c>
      <c r="D192" s="7" t="s">
        <v>4</v>
      </c>
      <c r="E192" s="7" t="str">
        <f>_xlfn.XLOOKUP(Production_Machine_1_Data_Entry!$D192,Data_Source!D:D, Data_Source!B:B, "Missing Value")</f>
        <v>GREEN</v>
      </c>
      <c r="F192" s="7" t="str">
        <f>_xlfn.XLOOKUP(Production_Machine_1_Data_Entry!$D192,Data_Source!D:D, Data_Source!E:E, "Missing Value")</f>
        <v>PROJECT CHARLIE</v>
      </c>
      <c r="G192" s="7"/>
      <c r="H192" s="7">
        <f t="shared" si="5"/>
        <v>0</v>
      </c>
      <c r="I192" s="7">
        <f>SUM(Production_Machine_1_Data_Entry!$J192:$T192)</f>
        <v>0</v>
      </c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 spans="1:20" x14ac:dyDescent="0.25">
      <c r="A193" s="9">
        <f t="shared" ca="1" si="4"/>
        <v>46197</v>
      </c>
      <c r="B193" s="7" t="str">
        <f>_xlfn.XLOOKUP(Production_Machine_1_Data_Entry!$D193, Data_Source!D:D, Data_Source!A:A, "Missing Value")</f>
        <v>C3</v>
      </c>
      <c r="C193" s="7">
        <f>_xlfn.XLOOKUP(Production_Machine_1_Data_Entry!$D193, Data_Source!D:D,Data_Source!C:C, "Missing Value")</f>
        <v>113</v>
      </c>
      <c r="D193" s="7" t="s">
        <v>4</v>
      </c>
      <c r="E193" s="7" t="str">
        <f>_xlfn.XLOOKUP(Production_Machine_1_Data_Entry!$D193,Data_Source!D:D, Data_Source!B:B, "Missing Value")</f>
        <v>GREEN</v>
      </c>
      <c r="F193" s="7" t="str">
        <f>_xlfn.XLOOKUP(Production_Machine_1_Data_Entry!$D193,Data_Source!D:D, Data_Source!E:E, "Missing Value")</f>
        <v>PROJECT CHARLIE</v>
      </c>
      <c r="G193" s="7"/>
      <c r="H193" s="7">
        <f t="shared" si="5"/>
        <v>0</v>
      </c>
      <c r="I193" s="7">
        <f>SUM(Production_Machine_1_Data_Entry!$J193:$T193)</f>
        <v>0</v>
      </c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 spans="1:20" x14ac:dyDescent="0.25">
      <c r="A194" s="9">
        <f t="shared" ca="1" si="4"/>
        <v>46197</v>
      </c>
      <c r="B194" s="7" t="str">
        <f>_xlfn.XLOOKUP(Production_Machine_1_Data_Entry!$D194, Data_Source!D:D, Data_Source!A:A, "Missing Value")</f>
        <v>C3</v>
      </c>
      <c r="C194" s="7">
        <f>_xlfn.XLOOKUP(Production_Machine_1_Data_Entry!$D194, Data_Source!D:D,Data_Source!C:C, "Missing Value")</f>
        <v>113</v>
      </c>
      <c r="D194" s="7" t="s">
        <v>4</v>
      </c>
      <c r="E194" s="7" t="str">
        <f>_xlfn.XLOOKUP(Production_Machine_1_Data_Entry!$D194,Data_Source!D:D, Data_Source!B:B, "Missing Value")</f>
        <v>GREEN</v>
      </c>
      <c r="F194" s="7" t="str">
        <f>_xlfn.XLOOKUP(Production_Machine_1_Data_Entry!$D194,Data_Source!D:D, Data_Source!E:E, "Missing Value")</f>
        <v>PROJECT CHARLIE</v>
      </c>
      <c r="G194" s="7"/>
      <c r="H194" s="7">
        <f t="shared" si="5"/>
        <v>0</v>
      </c>
      <c r="I194" s="7">
        <f>SUM(Production_Machine_1_Data_Entry!$J194:$T194)</f>
        <v>0</v>
      </c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 spans="1:20" x14ac:dyDescent="0.25">
      <c r="A195" s="9">
        <f ca="1">TODAY()</f>
        <v>46197</v>
      </c>
      <c r="B195" s="7" t="str">
        <f>_xlfn.XLOOKUP(Production_Machine_1_Data_Entry!$D195, Data_Source!D:D, Data_Source!A:A, "Missing Value")</f>
        <v>C3</v>
      </c>
      <c r="C195" s="7">
        <f>_xlfn.XLOOKUP(Production_Machine_1_Data_Entry!$D195, Data_Source!D:D,Data_Source!C:C, "Missing Value")</f>
        <v>113</v>
      </c>
      <c r="D195" s="7" t="s">
        <v>4</v>
      </c>
      <c r="E195" s="7" t="str">
        <f>_xlfn.XLOOKUP(Production_Machine_1_Data_Entry!$D195,Data_Source!D:D, Data_Source!B:B, "Missing Value")</f>
        <v>GREEN</v>
      </c>
      <c r="F195" s="7" t="str">
        <f>_xlfn.XLOOKUP(Production_Machine_1_Data_Entry!$D195,Data_Source!D:D, Data_Source!E:E, "Missing Value")</f>
        <v>PROJECT CHARLIE</v>
      </c>
      <c r="G195" s="7"/>
      <c r="H195" s="7">
        <f>G195-I195</f>
        <v>0</v>
      </c>
      <c r="I195" s="7">
        <f>SUM(Production_Machine_1_Data_Entry!$J195:$T195)</f>
        <v>0</v>
      </c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 spans="1:20" x14ac:dyDescent="0.25">
      <c r="A196" s="9">
        <f ca="1">TODAY()</f>
        <v>46197</v>
      </c>
      <c r="B196" s="7" t="str">
        <f>_xlfn.XLOOKUP(Production_Machine_1_Data_Entry!$D196, Data_Source!D:D, Data_Source!A:A, "Missing Value")</f>
        <v>C3</v>
      </c>
      <c r="C196" s="7">
        <f>_xlfn.XLOOKUP(Production_Machine_1_Data_Entry!$D196, Data_Source!D:D,Data_Source!C:C, "Missing Value")</f>
        <v>113</v>
      </c>
      <c r="D196" s="7" t="s">
        <v>4</v>
      </c>
      <c r="E196" s="7" t="str">
        <f>_xlfn.XLOOKUP(Production_Machine_1_Data_Entry!$D196,Data_Source!D:D, Data_Source!B:B, "Missing Value")</f>
        <v>GREEN</v>
      </c>
      <c r="F196" s="7" t="str">
        <f>_xlfn.XLOOKUP(Production_Machine_1_Data_Entry!$D196,Data_Source!D:D, Data_Source!E:E, "Missing Value")</f>
        <v>PROJECT CHARLIE</v>
      </c>
      <c r="G196" s="7"/>
      <c r="H196" s="7">
        <f>G196-I196</f>
        <v>0</v>
      </c>
      <c r="I196" s="7">
        <f>SUM(Production_Machine_1_Data_Entry!$J196:$T196)</f>
        <v>0</v>
      </c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 spans="1:20" x14ac:dyDescent="0.25">
      <c r="A197" s="9">
        <f ca="1">TODAY()</f>
        <v>46197</v>
      </c>
      <c r="B197" s="7" t="str">
        <f>_xlfn.XLOOKUP(Production_Machine_1_Data_Entry!$D197, Data_Source!D:D, Data_Source!A:A, "Missing Value")</f>
        <v>C3</v>
      </c>
      <c r="C197" s="7">
        <f>_xlfn.XLOOKUP(Production_Machine_1_Data_Entry!$D197, Data_Source!D:D,Data_Source!C:C, "Missing Value")</f>
        <v>113</v>
      </c>
      <c r="D197" s="7" t="s">
        <v>4</v>
      </c>
      <c r="E197" s="7" t="str">
        <f>_xlfn.XLOOKUP(Production_Machine_1_Data_Entry!$D197,Data_Source!D:D, Data_Source!B:B, "Missing Value")</f>
        <v>GREEN</v>
      </c>
      <c r="F197" s="7" t="str">
        <f>_xlfn.XLOOKUP(Production_Machine_1_Data_Entry!$D197,Data_Source!D:D, Data_Source!E:E, "Missing Value")</f>
        <v>PROJECT CHARLIE</v>
      </c>
      <c r="G197" s="7"/>
      <c r="H197" s="7">
        <f>G197-I197</f>
        <v>0</v>
      </c>
      <c r="I197" s="7">
        <f>SUM(Production_Machine_1_Data_Entry!$J197:$T197)</f>
        <v>0</v>
      </c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 spans="1:20" x14ac:dyDescent="0.25">
      <c r="A198" s="9">
        <f ca="1">TODAY()</f>
        <v>46197</v>
      </c>
      <c r="B198" s="7" t="str">
        <f>_xlfn.XLOOKUP(Production_Machine_1_Data_Entry!$D198, Data_Source!D:D, Data_Source!A:A, "Missing Value")</f>
        <v>C3</v>
      </c>
      <c r="C198" s="7">
        <f>_xlfn.XLOOKUP(Production_Machine_1_Data_Entry!$D198, Data_Source!D:D,Data_Source!C:C, "Missing Value")</f>
        <v>113</v>
      </c>
      <c r="D198" s="7" t="s">
        <v>4</v>
      </c>
      <c r="E198" s="7" t="str">
        <f>_xlfn.XLOOKUP(Production_Machine_1_Data_Entry!$D198,Data_Source!D:D, Data_Source!B:B, "Missing Value")</f>
        <v>GREEN</v>
      </c>
      <c r="F198" s="7" t="str">
        <f>_xlfn.XLOOKUP(Production_Machine_1_Data_Entry!$D198,Data_Source!D:D, Data_Source!E:E, "Missing Value")</f>
        <v>PROJECT CHARLIE</v>
      </c>
      <c r="G198" s="7"/>
      <c r="H198" s="7">
        <f>G198-I198</f>
        <v>0</v>
      </c>
      <c r="I198" s="7">
        <f>SUM(Production_Machine_1_Data_Entry!$J198:$T198)</f>
        <v>0</v>
      </c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 spans="1:20" x14ac:dyDescent="0.25">
      <c r="A199" s="9">
        <f ca="1">TODAY()</f>
        <v>46197</v>
      </c>
      <c r="B199" s="7" t="str">
        <f>_xlfn.XLOOKUP(Production_Machine_1_Data_Entry!$D199, Data_Source!D:D, Data_Source!A:A, "Missing Value")</f>
        <v>C3</v>
      </c>
      <c r="C199" s="7">
        <f>_xlfn.XLOOKUP(Production_Machine_1_Data_Entry!$D199, Data_Source!D:D,Data_Source!C:C, "Missing Value")</f>
        <v>113</v>
      </c>
      <c r="D199" s="7" t="s">
        <v>4</v>
      </c>
      <c r="E199" s="7" t="str">
        <f>_xlfn.XLOOKUP(Production_Machine_1_Data_Entry!$D199,Data_Source!D:D, Data_Source!B:B, "Missing Value")</f>
        <v>GREEN</v>
      </c>
      <c r="F199" s="7" t="str">
        <f>_xlfn.XLOOKUP(Production_Machine_1_Data_Entry!$D199,Data_Source!D:D, Data_Source!E:E, "Missing Value")</f>
        <v>PROJECT CHARLIE</v>
      </c>
      <c r="G199" s="7"/>
      <c r="H199" s="7">
        <f>G199-I199</f>
        <v>0</v>
      </c>
      <c r="I199" s="7">
        <f>SUM(Production_Machine_1_Data_Entry!$J199:$T199)</f>
        <v>0</v>
      </c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 spans="1:20" x14ac:dyDescent="0.25">
      <c r="A200" s="9">
        <f ca="1">TODAY()</f>
        <v>46197</v>
      </c>
      <c r="B200" s="7" t="str">
        <f>_xlfn.XLOOKUP(Production_Machine_1_Data_Entry!$D200, Data_Source!D:D, Data_Source!A:A, "Missing Value")</f>
        <v>C3</v>
      </c>
      <c r="C200" s="7">
        <f>_xlfn.XLOOKUP(Production_Machine_1_Data_Entry!$D200, Data_Source!D:D,Data_Source!C:C, "Missing Value")</f>
        <v>113</v>
      </c>
      <c r="D200" s="7" t="s">
        <v>4</v>
      </c>
      <c r="E200" s="7" t="str">
        <f>_xlfn.XLOOKUP(Production_Machine_1_Data_Entry!$D200,Data_Source!D:D, Data_Source!B:B, "Missing Value")</f>
        <v>GREEN</v>
      </c>
      <c r="F200" s="7" t="str">
        <f>_xlfn.XLOOKUP(Production_Machine_1_Data_Entry!$D200,Data_Source!D:D, Data_Source!E:E, "Missing Value")</f>
        <v>PROJECT CHARLIE</v>
      </c>
      <c r="G200" s="7"/>
      <c r="H200" s="7">
        <f>G200-I200</f>
        <v>0</v>
      </c>
      <c r="I200" s="7">
        <f>SUM(Production_Machine_1_Data_Entry!$J200:$T200)</f>
        <v>0</v>
      </c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 spans="1:20" x14ac:dyDescent="0.25">
      <c r="A201" s="9">
        <f ca="1">TODAY()</f>
        <v>46197</v>
      </c>
      <c r="B201" s="7" t="str">
        <f>_xlfn.XLOOKUP(Production_Machine_1_Data_Entry!$D201, Data_Source!D:D, Data_Source!A:A, "Missing Value")</f>
        <v>C3</v>
      </c>
      <c r="C201" s="7">
        <f>_xlfn.XLOOKUP(Production_Machine_1_Data_Entry!$D201, Data_Source!D:D,Data_Source!C:C, "Missing Value")</f>
        <v>113</v>
      </c>
      <c r="D201" s="7" t="s">
        <v>4</v>
      </c>
      <c r="E201" s="7" t="str">
        <f>_xlfn.XLOOKUP(Production_Machine_1_Data_Entry!$D201,Data_Source!D:D, Data_Source!B:B, "Missing Value")</f>
        <v>GREEN</v>
      </c>
      <c r="F201" s="7" t="str">
        <f>_xlfn.XLOOKUP(Production_Machine_1_Data_Entry!$D201,Data_Source!D:D, Data_Source!E:E, "Missing Value")</f>
        <v>PROJECT CHARLIE</v>
      </c>
      <c r="G201" s="7"/>
      <c r="H201" s="7">
        <f>G201-I201</f>
        <v>0</v>
      </c>
      <c r="I201" s="7">
        <f>SUM(Production_Machine_1_Data_Entry!$J201:$T201)</f>
        <v>0</v>
      </c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 spans="1:20" x14ac:dyDescent="0.25">
      <c r="A202" s="9">
        <f ca="1">TODAY()</f>
        <v>46197</v>
      </c>
      <c r="B202" s="7" t="str">
        <f>_xlfn.XLOOKUP(Production_Machine_1_Data_Entry!$D202, Data_Source!D:D, Data_Source!A:A, "Missing Value")</f>
        <v>C3</v>
      </c>
      <c r="C202" s="7">
        <f>_xlfn.XLOOKUP(Production_Machine_1_Data_Entry!$D202, Data_Source!D:D,Data_Source!C:C, "Missing Value")</f>
        <v>113</v>
      </c>
      <c r="D202" s="7" t="s">
        <v>4</v>
      </c>
      <c r="E202" s="7" t="str">
        <f>_xlfn.XLOOKUP(Production_Machine_1_Data_Entry!$D202,Data_Source!D:D, Data_Source!B:B, "Missing Value")</f>
        <v>GREEN</v>
      </c>
      <c r="F202" s="7" t="str">
        <f>_xlfn.XLOOKUP(Production_Machine_1_Data_Entry!$D202,Data_Source!D:D, Data_Source!E:E, "Missing Value")</f>
        <v>PROJECT CHARLIE</v>
      </c>
      <c r="G202" s="7"/>
      <c r="H202" s="7">
        <f>G202-I202</f>
        <v>0</v>
      </c>
      <c r="I202" s="7">
        <f>SUM(Production_Machine_1_Data_Entry!$J202:$T202)</f>
        <v>0</v>
      </c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 spans="1:20" x14ac:dyDescent="0.25">
      <c r="A203" s="9">
        <f ca="1">TODAY()</f>
        <v>46197</v>
      </c>
      <c r="B203" s="7" t="str">
        <f>_xlfn.XLOOKUP(Production_Machine_1_Data_Entry!$D203, Data_Source!D:D, Data_Source!A:A, "Missing Value")</f>
        <v>C3</v>
      </c>
      <c r="C203" s="7">
        <f>_xlfn.XLOOKUP(Production_Machine_1_Data_Entry!$D203, Data_Source!D:D,Data_Source!C:C, "Missing Value")</f>
        <v>113</v>
      </c>
      <c r="D203" s="7" t="s">
        <v>4</v>
      </c>
      <c r="E203" s="7" t="str">
        <f>_xlfn.XLOOKUP(Production_Machine_1_Data_Entry!$D203,Data_Source!D:D, Data_Source!B:B, "Missing Value")</f>
        <v>GREEN</v>
      </c>
      <c r="F203" s="7" t="str">
        <f>_xlfn.XLOOKUP(Production_Machine_1_Data_Entry!$D203,Data_Source!D:D, Data_Source!E:E, "Missing Value")</f>
        <v>PROJECT CHARLIE</v>
      </c>
      <c r="G203" s="7"/>
      <c r="H203" s="7">
        <f>G203-I203</f>
        <v>0</v>
      </c>
      <c r="I203" s="7">
        <f>SUM(Production_Machine_1_Data_Entry!$J203:$T203)</f>
        <v>0</v>
      </c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 spans="1:20" x14ac:dyDescent="0.25">
      <c r="A204" s="9">
        <f ca="1">TODAY()</f>
        <v>46197</v>
      </c>
      <c r="B204" s="7" t="str">
        <f>_xlfn.XLOOKUP(Production_Machine_1_Data_Entry!$D204, Data_Source!D:D, Data_Source!A:A, "Missing Value")</f>
        <v>C3</v>
      </c>
      <c r="C204" s="7">
        <f>_xlfn.XLOOKUP(Production_Machine_1_Data_Entry!$D204, Data_Source!D:D,Data_Source!C:C, "Missing Value")</f>
        <v>113</v>
      </c>
      <c r="D204" s="7" t="s">
        <v>4</v>
      </c>
      <c r="E204" s="7" t="str">
        <f>_xlfn.XLOOKUP(Production_Machine_1_Data_Entry!$D204,Data_Source!D:D, Data_Source!B:B, "Missing Value")</f>
        <v>GREEN</v>
      </c>
      <c r="F204" s="7" t="str">
        <f>_xlfn.XLOOKUP(Production_Machine_1_Data_Entry!$D204,Data_Source!D:D, Data_Source!E:E, "Missing Value")</f>
        <v>PROJECT CHARLIE</v>
      </c>
      <c r="G204" s="7"/>
      <c r="H204" s="7">
        <f>G204-I204</f>
        <v>0</v>
      </c>
      <c r="I204" s="7">
        <f>SUM(Production_Machine_1_Data_Entry!$J204:$T204)</f>
        <v>0</v>
      </c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 spans="1:20" x14ac:dyDescent="0.25">
      <c r="A205" s="9">
        <f ca="1">TODAY()</f>
        <v>46197</v>
      </c>
      <c r="B205" s="7" t="str">
        <f>_xlfn.XLOOKUP(Production_Machine_1_Data_Entry!$D205, Data_Source!D:D, Data_Source!A:A, "Missing Value")</f>
        <v>C3</v>
      </c>
      <c r="C205" s="7">
        <f>_xlfn.XLOOKUP(Production_Machine_1_Data_Entry!$D205, Data_Source!D:D,Data_Source!C:C, "Missing Value")</f>
        <v>113</v>
      </c>
      <c r="D205" s="7" t="s">
        <v>4</v>
      </c>
      <c r="E205" s="7" t="str">
        <f>_xlfn.XLOOKUP(Production_Machine_1_Data_Entry!$D205,Data_Source!D:D, Data_Source!B:B, "Missing Value")</f>
        <v>GREEN</v>
      </c>
      <c r="F205" s="7" t="str">
        <f>_xlfn.XLOOKUP(Production_Machine_1_Data_Entry!$D205,Data_Source!D:D, Data_Source!E:E, "Missing Value")</f>
        <v>PROJECT CHARLIE</v>
      </c>
      <c r="G205" s="7"/>
      <c r="H205" s="7">
        <f>G205-I205</f>
        <v>0</v>
      </c>
      <c r="I205" s="7">
        <f>SUM(Production_Machine_1_Data_Entry!$J205:$T205)</f>
        <v>0</v>
      </c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 spans="1:20" x14ac:dyDescent="0.25">
      <c r="A206" s="9">
        <f ca="1">TODAY()</f>
        <v>46197</v>
      </c>
      <c r="B206" s="7" t="str">
        <f>_xlfn.XLOOKUP(Production_Machine_1_Data_Entry!$D206, Data_Source!D:D, Data_Source!A:A, "Missing Value")</f>
        <v>C3</v>
      </c>
      <c r="C206" s="7">
        <f>_xlfn.XLOOKUP(Production_Machine_1_Data_Entry!$D206, Data_Source!D:D,Data_Source!C:C, "Missing Value")</f>
        <v>113</v>
      </c>
      <c r="D206" s="7" t="s">
        <v>4</v>
      </c>
      <c r="E206" s="7" t="str">
        <f>_xlfn.XLOOKUP(Production_Machine_1_Data_Entry!$D206,Data_Source!D:D, Data_Source!B:B, "Missing Value")</f>
        <v>GREEN</v>
      </c>
      <c r="F206" s="7" t="str">
        <f>_xlfn.XLOOKUP(Production_Machine_1_Data_Entry!$D206,Data_Source!D:D, Data_Source!E:E, "Missing Value")</f>
        <v>PROJECT CHARLIE</v>
      </c>
      <c r="G206" s="7"/>
      <c r="H206" s="7">
        <f>G206-I206</f>
        <v>0</v>
      </c>
      <c r="I206" s="7">
        <f>SUM(Production_Machine_1_Data_Entry!$J206:$T206)</f>
        <v>0</v>
      </c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 spans="1:20" x14ac:dyDescent="0.25">
      <c r="A207" s="9">
        <f ca="1">TODAY()</f>
        <v>46197</v>
      </c>
      <c r="B207" s="7" t="str">
        <f>_xlfn.XLOOKUP(Production_Machine_1_Data_Entry!$D207, Data_Source!D:D, Data_Source!A:A, "Missing Value")</f>
        <v>C3</v>
      </c>
      <c r="C207" s="7">
        <f>_xlfn.XLOOKUP(Production_Machine_1_Data_Entry!$D207, Data_Source!D:D,Data_Source!C:C, "Missing Value")</f>
        <v>113</v>
      </c>
      <c r="D207" s="7" t="s">
        <v>4</v>
      </c>
      <c r="E207" s="7" t="str">
        <f>_xlfn.XLOOKUP(Production_Machine_1_Data_Entry!$D207,Data_Source!D:D, Data_Source!B:B, "Missing Value")</f>
        <v>GREEN</v>
      </c>
      <c r="F207" s="7" t="str">
        <f>_xlfn.XLOOKUP(Production_Machine_1_Data_Entry!$D207,Data_Source!D:D, Data_Source!E:E, "Missing Value")</f>
        <v>PROJECT CHARLIE</v>
      </c>
      <c r="G207" s="7"/>
      <c r="H207" s="7">
        <f>G207-I207</f>
        <v>0</v>
      </c>
      <c r="I207" s="7">
        <f>SUM(Production_Machine_1_Data_Entry!$J207:$T207)</f>
        <v>0</v>
      </c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 spans="1:20" x14ac:dyDescent="0.25">
      <c r="A208" s="9">
        <f ca="1">TODAY()</f>
        <v>46197</v>
      </c>
      <c r="B208" s="7" t="str">
        <f>_xlfn.XLOOKUP(Production_Machine_1_Data_Entry!$D208, Data_Source!D:D, Data_Source!A:A, "Missing Value")</f>
        <v>C3</v>
      </c>
      <c r="C208" s="7">
        <f>_xlfn.XLOOKUP(Production_Machine_1_Data_Entry!$D208, Data_Source!D:D,Data_Source!C:C, "Missing Value")</f>
        <v>113</v>
      </c>
      <c r="D208" s="7" t="s">
        <v>4</v>
      </c>
      <c r="E208" s="7" t="str">
        <f>_xlfn.XLOOKUP(Production_Machine_1_Data_Entry!$D208,Data_Source!D:D, Data_Source!B:B, "Missing Value")</f>
        <v>GREEN</v>
      </c>
      <c r="F208" s="7" t="str">
        <f>_xlfn.XLOOKUP(Production_Machine_1_Data_Entry!$D208,Data_Source!D:D, Data_Source!E:E, "Missing Value")</f>
        <v>PROJECT CHARLIE</v>
      </c>
      <c r="G208" s="7"/>
      <c r="H208" s="7">
        <f>G208-I208</f>
        <v>0</v>
      </c>
      <c r="I208" s="7">
        <f>SUM(Production_Machine_1_Data_Entry!$J208:$T208)</f>
        <v>0</v>
      </c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 spans="1:20" x14ac:dyDescent="0.25">
      <c r="A209" s="9">
        <f ca="1">TODAY()</f>
        <v>46197</v>
      </c>
      <c r="B209" s="7" t="str">
        <f>_xlfn.XLOOKUP(Production_Machine_1_Data_Entry!$D209, Data_Source!D:D, Data_Source!A:A, "Missing Value")</f>
        <v>C3</v>
      </c>
      <c r="C209" s="7">
        <f>_xlfn.XLOOKUP(Production_Machine_1_Data_Entry!$D209, Data_Source!D:D,Data_Source!C:C, "Missing Value")</f>
        <v>113</v>
      </c>
      <c r="D209" s="7" t="s">
        <v>4</v>
      </c>
      <c r="E209" s="7" t="str">
        <f>_xlfn.XLOOKUP(Production_Machine_1_Data_Entry!$D209,Data_Source!D:D, Data_Source!B:B, "Missing Value")</f>
        <v>GREEN</v>
      </c>
      <c r="F209" s="7" t="str">
        <f>_xlfn.XLOOKUP(Production_Machine_1_Data_Entry!$D209,Data_Source!D:D, Data_Source!E:E, "Missing Value")</f>
        <v>PROJECT CHARLIE</v>
      </c>
      <c r="G209" s="7"/>
      <c r="H209" s="7">
        <f>G209-I209</f>
        <v>0</v>
      </c>
      <c r="I209" s="7">
        <f>SUM(Production_Machine_1_Data_Entry!$J209:$T209)</f>
        <v>0</v>
      </c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 spans="1:20" x14ac:dyDescent="0.25">
      <c r="A210" s="9">
        <f ca="1">TODAY()</f>
        <v>46197</v>
      </c>
      <c r="B210" s="7" t="str">
        <f>_xlfn.XLOOKUP(Production_Machine_1_Data_Entry!$D210, Data_Source!D:D, Data_Source!A:A, "Missing Value")</f>
        <v>C3</v>
      </c>
      <c r="C210" s="7">
        <f>_xlfn.XLOOKUP(Production_Machine_1_Data_Entry!$D210, Data_Source!D:D,Data_Source!C:C, "Missing Value")</f>
        <v>113</v>
      </c>
      <c r="D210" s="7" t="s">
        <v>4</v>
      </c>
      <c r="E210" s="7" t="str">
        <f>_xlfn.XLOOKUP(Production_Machine_1_Data_Entry!$D210,Data_Source!D:D, Data_Source!B:B, "Missing Value")</f>
        <v>GREEN</v>
      </c>
      <c r="F210" s="7" t="str">
        <f>_xlfn.XLOOKUP(Production_Machine_1_Data_Entry!$D210,Data_Source!D:D, Data_Source!E:E, "Missing Value")</f>
        <v>PROJECT CHARLIE</v>
      </c>
      <c r="G210" s="7"/>
      <c r="H210" s="7">
        <f>G210-I210</f>
        <v>0</v>
      </c>
      <c r="I210" s="7">
        <f>SUM(Production_Machine_1_Data_Entry!$J210:$T210)</f>
        <v>0</v>
      </c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 spans="1:20" x14ac:dyDescent="0.25">
      <c r="A211" s="9">
        <f ca="1">TODAY()</f>
        <v>46197</v>
      </c>
      <c r="B211" s="7" t="str">
        <f>_xlfn.XLOOKUP(Production_Machine_1_Data_Entry!$D211, Data_Source!D:D, Data_Source!A:A, "Missing Value")</f>
        <v>C3</v>
      </c>
      <c r="C211" s="7">
        <f>_xlfn.XLOOKUP(Production_Machine_1_Data_Entry!$D211, Data_Source!D:D,Data_Source!C:C, "Missing Value")</f>
        <v>113</v>
      </c>
      <c r="D211" s="7" t="s">
        <v>4</v>
      </c>
      <c r="E211" s="7" t="str">
        <f>_xlfn.XLOOKUP(Production_Machine_1_Data_Entry!$D211,Data_Source!D:D, Data_Source!B:B, "Missing Value")</f>
        <v>GREEN</v>
      </c>
      <c r="F211" s="7" t="str">
        <f>_xlfn.XLOOKUP(Production_Machine_1_Data_Entry!$D211,Data_Source!D:D, Data_Source!E:E, "Missing Value")</f>
        <v>PROJECT CHARLIE</v>
      </c>
      <c r="G211" s="7"/>
      <c r="H211" s="7">
        <f>G211-I211</f>
        <v>0</v>
      </c>
      <c r="I211" s="7">
        <f>SUM(Production_Machine_1_Data_Entry!$J211:$T211)</f>
        <v>0</v>
      </c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 spans="1:20" x14ac:dyDescent="0.25">
      <c r="A212" s="9">
        <f ca="1">TODAY()</f>
        <v>46197</v>
      </c>
      <c r="B212" s="7" t="str">
        <f>_xlfn.XLOOKUP(Production_Machine_1_Data_Entry!$D212, Data_Source!D:D, Data_Source!A:A, "Missing Value")</f>
        <v>A1</v>
      </c>
      <c r="C212" s="7">
        <f>_xlfn.XLOOKUP(Production_Machine_1_Data_Entry!$D212, Data_Source!D:D,Data_Source!C:C, "Missing Value")</f>
        <v>112</v>
      </c>
      <c r="D212" s="7" t="s">
        <v>5</v>
      </c>
      <c r="E212" s="7" t="str">
        <f>_xlfn.XLOOKUP(Production_Machine_1_Data_Entry!$D212,Data_Source!D:D, Data_Source!B:B, "Missing Value")</f>
        <v>RED</v>
      </c>
      <c r="F212" s="7" t="str">
        <f>_xlfn.XLOOKUP(Production_Machine_1_Data_Entry!$D212,Data_Source!D:D, Data_Source!E:E, "Missing Value")</f>
        <v>PROJECT DELTA</v>
      </c>
      <c r="G212" s="7"/>
      <c r="H212" s="7">
        <f>G212-I212</f>
        <v>0</v>
      </c>
      <c r="I212" s="7">
        <f>SUM(Production_Machine_1_Data_Entry!$J212:$T212)</f>
        <v>0</v>
      </c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 spans="1:20" x14ac:dyDescent="0.25">
      <c r="A213" s="9">
        <f ca="1">TODAY()</f>
        <v>46197</v>
      </c>
      <c r="B213" s="7" t="str">
        <f>_xlfn.XLOOKUP(Production_Machine_1_Data_Entry!$D213, Data_Source!D:D, Data_Source!A:A, "Missing Value")</f>
        <v>A1</v>
      </c>
      <c r="C213" s="7">
        <f>_xlfn.XLOOKUP(Production_Machine_1_Data_Entry!$D213, Data_Source!D:D,Data_Source!C:C, "Missing Value")</f>
        <v>112</v>
      </c>
      <c r="D213" s="7" t="s">
        <v>5</v>
      </c>
      <c r="E213" s="7" t="str">
        <f>_xlfn.XLOOKUP(Production_Machine_1_Data_Entry!$D213,Data_Source!D:D, Data_Source!B:B, "Missing Value")</f>
        <v>RED</v>
      </c>
      <c r="F213" s="7" t="str">
        <f>_xlfn.XLOOKUP(Production_Machine_1_Data_Entry!$D213,Data_Source!D:D, Data_Source!E:E, "Missing Value")</f>
        <v>PROJECT DELTA</v>
      </c>
      <c r="G213" s="7"/>
      <c r="H213" s="7">
        <f>G213-I213</f>
        <v>0</v>
      </c>
      <c r="I213" s="7">
        <f>SUM(Production_Machine_1_Data_Entry!$J213:$T213)</f>
        <v>0</v>
      </c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 spans="1:20" x14ac:dyDescent="0.25">
      <c r="A214" s="9">
        <f ca="1">TODAY()</f>
        <v>46197</v>
      </c>
      <c r="B214" s="7" t="str">
        <f>_xlfn.XLOOKUP(Production_Machine_1_Data_Entry!$D214, Data_Source!D:D, Data_Source!A:A, "Missing Value")</f>
        <v>A1</v>
      </c>
      <c r="C214" s="7">
        <f>_xlfn.XLOOKUP(Production_Machine_1_Data_Entry!$D214, Data_Source!D:D,Data_Source!C:C, "Missing Value")</f>
        <v>112</v>
      </c>
      <c r="D214" s="7" t="s">
        <v>5</v>
      </c>
      <c r="E214" s="7" t="str">
        <f>_xlfn.XLOOKUP(Production_Machine_1_Data_Entry!$D214,Data_Source!D:D, Data_Source!B:B, "Missing Value")</f>
        <v>RED</v>
      </c>
      <c r="F214" s="7" t="str">
        <f>_xlfn.XLOOKUP(Production_Machine_1_Data_Entry!$D214,Data_Source!D:D, Data_Source!E:E, "Missing Value")</f>
        <v>PROJECT DELTA</v>
      </c>
      <c r="G214" s="7"/>
      <c r="H214" s="7">
        <f>G214-I214</f>
        <v>0</v>
      </c>
      <c r="I214" s="7">
        <f>SUM(Production_Machine_1_Data_Entry!$J214:$T214)</f>
        <v>0</v>
      </c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 spans="1:20" x14ac:dyDescent="0.25">
      <c r="A215" s="9">
        <f ca="1">TODAY()</f>
        <v>46197</v>
      </c>
      <c r="B215" s="7" t="str">
        <f>_xlfn.XLOOKUP(Production_Machine_1_Data_Entry!$D215, Data_Source!D:D, Data_Source!A:A, "Missing Value")</f>
        <v>A1</v>
      </c>
      <c r="C215" s="7">
        <f>_xlfn.XLOOKUP(Production_Machine_1_Data_Entry!$D215, Data_Source!D:D,Data_Source!C:C, "Missing Value")</f>
        <v>112</v>
      </c>
      <c r="D215" s="7" t="s">
        <v>5</v>
      </c>
      <c r="E215" s="7" t="str">
        <f>_xlfn.XLOOKUP(Production_Machine_1_Data_Entry!$D215,Data_Source!D:D, Data_Source!B:B, "Missing Value")</f>
        <v>RED</v>
      </c>
      <c r="F215" s="7" t="str">
        <f>_xlfn.XLOOKUP(Production_Machine_1_Data_Entry!$D215,Data_Source!D:D, Data_Source!E:E, "Missing Value")</f>
        <v>PROJECT DELTA</v>
      </c>
      <c r="G215" s="7"/>
      <c r="H215" s="7">
        <f>G215-I215</f>
        <v>0</v>
      </c>
      <c r="I215" s="7">
        <f>SUM(Production_Machine_1_Data_Entry!$J215:$T215)</f>
        <v>0</v>
      </c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 spans="1:20" x14ac:dyDescent="0.25">
      <c r="A216" s="9">
        <f ca="1">TODAY()</f>
        <v>46197</v>
      </c>
      <c r="B216" s="7" t="str">
        <f>_xlfn.XLOOKUP(Production_Machine_1_Data_Entry!$D216, Data_Source!D:D, Data_Source!A:A, "Missing Value")</f>
        <v>A1</v>
      </c>
      <c r="C216" s="7">
        <f>_xlfn.XLOOKUP(Production_Machine_1_Data_Entry!$D216, Data_Source!D:D,Data_Source!C:C, "Missing Value")</f>
        <v>112</v>
      </c>
      <c r="D216" s="7" t="s">
        <v>5</v>
      </c>
      <c r="E216" s="7" t="str">
        <f>_xlfn.XLOOKUP(Production_Machine_1_Data_Entry!$D216,Data_Source!D:D, Data_Source!B:B, "Missing Value")</f>
        <v>RED</v>
      </c>
      <c r="F216" s="7" t="str">
        <f>_xlfn.XLOOKUP(Production_Machine_1_Data_Entry!$D216,Data_Source!D:D, Data_Source!E:E, "Missing Value")</f>
        <v>PROJECT DELTA</v>
      </c>
      <c r="G216" s="7"/>
      <c r="H216" s="7">
        <f>G216-I216</f>
        <v>0</v>
      </c>
      <c r="I216" s="7">
        <f>SUM(Production_Machine_1_Data_Entry!$J216:$T216)</f>
        <v>0</v>
      </c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 spans="1:20" x14ac:dyDescent="0.25">
      <c r="A217" s="9">
        <f ca="1">TODAY()</f>
        <v>46197</v>
      </c>
      <c r="B217" s="7" t="str">
        <f>_xlfn.XLOOKUP(Production_Machine_1_Data_Entry!$D217, Data_Source!D:D, Data_Source!A:A, "Missing Value")</f>
        <v>A1</v>
      </c>
      <c r="C217" s="7">
        <f>_xlfn.XLOOKUP(Production_Machine_1_Data_Entry!$D217, Data_Source!D:D,Data_Source!C:C, "Missing Value")</f>
        <v>112</v>
      </c>
      <c r="D217" s="7" t="s">
        <v>5</v>
      </c>
      <c r="E217" s="7" t="str">
        <f>_xlfn.XLOOKUP(Production_Machine_1_Data_Entry!$D217,Data_Source!D:D, Data_Source!B:B, "Missing Value")</f>
        <v>RED</v>
      </c>
      <c r="F217" s="7" t="str">
        <f>_xlfn.XLOOKUP(Production_Machine_1_Data_Entry!$D217,Data_Source!D:D, Data_Source!E:E, "Missing Value")</f>
        <v>PROJECT DELTA</v>
      </c>
      <c r="G217" s="7"/>
      <c r="H217" s="7">
        <f>G217-I217</f>
        <v>0</v>
      </c>
      <c r="I217" s="7">
        <f>SUM(Production_Machine_1_Data_Entry!$J217:$T217)</f>
        <v>0</v>
      </c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 spans="1:20" x14ac:dyDescent="0.25">
      <c r="A218" s="9">
        <f ca="1">TODAY()</f>
        <v>46197</v>
      </c>
      <c r="B218" s="7" t="str">
        <f>_xlfn.XLOOKUP(Production_Machine_1_Data_Entry!$D218, Data_Source!D:D, Data_Source!A:A, "Missing Value")</f>
        <v>A1</v>
      </c>
      <c r="C218" s="7">
        <f>_xlfn.XLOOKUP(Production_Machine_1_Data_Entry!$D218, Data_Source!D:D,Data_Source!C:C, "Missing Value")</f>
        <v>112</v>
      </c>
      <c r="D218" s="7" t="s">
        <v>5</v>
      </c>
      <c r="E218" s="7" t="str">
        <f>_xlfn.XLOOKUP(Production_Machine_1_Data_Entry!$D218,Data_Source!D:D, Data_Source!B:B, "Missing Value")</f>
        <v>RED</v>
      </c>
      <c r="F218" s="7" t="str">
        <f>_xlfn.XLOOKUP(Production_Machine_1_Data_Entry!$D218,Data_Source!D:D, Data_Source!E:E, "Missing Value")</f>
        <v>PROJECT DELTA</v>
      </c>
      <c r="G218" s="7"/>
      <c r="H218" s="7">
        <f>G218-I218</f>
        <v>0</v>
      </c>
      <c r="I218" s="7">
        <f>SUM(Production_Machine_1_Data_Entry!$J218:$T218)</f>
        <v>0</v>
      </c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 spans="1:20" x14ac:dyDescent="0.25">
      <c r="A219" s="9">
        <f ca="1">TODAY()</f>
        <v>46197</v>
      </c>
      <c r="B219" s="7" t="str">
        <f>_xlfn.XLOOKUP(Production_Machine_1_Data_Entry!$D219, Data_Source!D:D, Data_Source!A:A, "Missing Value")</f>
        <v>A1</v>
      </c>
      <c r="C219" s="7">
        <f>_xlfn.XLOOKUP(Production_Machine_1_Data_Entry!$D219, Data_Source!D:D,Data_Source!C:C, "Missing Value")</f>
        <v>112</v>
      </c>
      <c r="D219" s="7" t="s">
        <v>5</v>
      </c>
      <c r="E219" s="7" t="str">
        <f>_xlfn.XLOOKUP(Production_Machine_1_Data_Entry!$D219,Data_Source!D:D, Data_Source!B:B, "Missing Value")</f>
        <v>RED</v>
      </c>
      <c r="F219" s="7" t="str">
        <f>_xlfn.XLOOKUP(Production_Machine_1_Data_Entry!$D219,Data_Source!D:D, Data_Source!E:E, "Missing Value")</f>
        <v>PROJECT DELTA</v>
      </c>
      <c r="G219" s="7"/>
      <c r="H219" s="7">
        <f>G219-I219</f>
        <v>0</v>
      </c>
      <c r="I219" s="7">
        <f>SUM(Production_Machine_1_Data_Entry!$J219:$T219)</f>
        <v>0</v>
      </c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 spans="1:20" x14ac:dyDescent="0.25">
      <c r="A220" s="9">
        <f ca="1">TODAY()</f>
        <v>46197</v>
      </c>
      <c r="B220" s="7" t="str">
        <f>_xlfn.XLOOKUP(Production_Machine_1_Data_Entry!$D220, Data_Source!D:D, Data_Source!A:A, "Missing Value")</f>
        <v>A1</v>
      </c>
      <c r="C220" s="7">
        <f>_xlfn.XLOOKUP(Production_Machine_1_Data_Entry!$D220, Data_Source!D:D,Data_Source!C:C, "Missing Value")</f>
        <v>112</v>
      </c>
      <c r="D220" s="7" t="s">
        <v>5</v>
      </c>
      <c r="E220" s="7" t="str">
        <f>_xlfn.XLOOKUP(Production_Machine_1_Data_Entry!$D220,Data_Source!D:D, Data_Source!B:B, "Missing Value")</f>
        <v>RED</v>
      </c>
      <c r="F220" s="7" t="str">
        <f>_xlfn.XLOOKUP(Production_Machine_1_Data_Entry!$D220,Data_Source!D:D, Data_Source!E:E, "Missing Value")</f>
        <v>PROJECT DELTA</v>
      </c>
      <c r="G220" s="7"/>
      <c r="H220" s="7">
        <f>G220-I220</f>
        <v>0</v>
      </c>
      <c r="I220" s="7">
        <f>SUM(Production_Machine_1_Data_Entry!$J220:$T220)</f>
        <v>0</v>
      </c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 spans="1:20" x14ac:dyDescent="0.25">
      <c r="A221" s="9">
        <f ca="1">TODAY()</f>
        <v>46197</v>
      </c>
      <c r="B221" s="7" t="str">
        <f>_xlfn.XLOOKUP(Production_Machine_1_Data_Entry!$D221, Data_Source!D:D, Data_Source!A:A, "Missing Value")</f>
        <v>A1</v>
      </c>
      <c r="C221" s="7">
        <f>_xlfn.XLOOKUP(Production_Machine_1_Data_Entry!$D221, Data_Source!D:D,Data_Source!C:C, "Missing Value")</f>
        <v>112</v>
      </c>
      <c r="D221" s="7" t="s">
        <v>5</v>
      </c>
      <c r="E221" s="7" t="str">
        <f>_xlfn.XLOOKUP(Production_Machine_1_Data_Entry!$D221,Data_Source!D:D, Data_Source!B:B, "Missing Value")</f>
        <v>RED</v>
      </c>
      <c r="F221" s="7" t="str">
        <f>_xlfn.XLOOKUP(Production_Machine_1_Data_Entry!$D221,Data_Source!D:D, Data_Source!E:E, "Missing Value")</f>
        <v>PROJECT DELTA</v>
      </c>
      <c r="G221" s="7"/>
      <c r="H221" s="7">
        <f>G221-I221</f>
        <v>0</v>
      </c>
      <c r="I221" s="7">
        <f>SUM(Production_Machine_1_Data_Entry!$J221:$T221)</f>
        <v>0</v>
      </c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 spans="1:20" x14ac:dyDescent="0.25">
      <c r="A222" s="9">
        <f ca="1">TODAY()</f>
        <v>46197</v>
      </c>
      <c r="B222" s="7" t="str">
        <f>_xlfn.XLOOKUP(Production_Machine_1_Data_Entry!$D222, Data_Source!D:D, Data_Source!A:A, "Missing Value")</f>
        <v>A1</v>
      </c>
      <c r="C222" s="7">
        <f>_xlfn.XLOOKUP(Production_Machine_1_Data_Entry!$D222, Data_Source!D:D,Data_Source!C:C, "Missing Value")</f>
        <v>112</v>
      </c>
      <c r="D222" s="7" t="s">
        <v>5</v>
      </c>
      <c r="E222" s="7" t="str">
        <f>_xlfn.XLOOKUP(Production_Machine_1_Data_Entry!$D222,Data_Source!D:D, Data_Source!B:B, "Missing Value")</f>
        <v>RED</v>
      </c>
      <c r="F222" s="7" t="str">
        <f>_xlfn.XLOOKUP(Production_Machine_1_Data_Entry!$D222,Data_Source!D:D, Data_Source!E:E, "Missing Value")</f>
        <v>PROJECT DELTA</v>
      </c>
      <c r="G222" s="7"/>
      <c r="H222" s="7">
        <f>G222-I222</f>
        <v>0</v>
      </c>
      <c r="I222" s="7">
        <f>SUM(Production_Machine_1_Data_Entry!$J222:$T222)</f>
        <v>0</v>
      </c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 spans="1:20" x14ac:dyDescent="0.25">
      <c r="A223" s="9">
        <f ca="1">TODAY()</f>
        <v>46197</v>
      </c>
      <c r="B223" s="7" t="str">
        <f>_xlfn.XLOOKUP(Production_Machine_1_Data_Entry!$D223, Data_Source!D:D, Data_Source!A:A, "Missing Value")</f>
        <v>A1</v>
      </c>
      <c r="C223" s="7">
        <f>_xlfn.XLOOKUP(Production_Machine_1_Data_Entry!$D223, Data_Source!D:D,Data_Source!C:C, "Missing Value")</f>
        <v>112</v>
      </c>
      <c r="D223" s="7" t="s">
        <v>5</v>
      </c>
      <c r="E223" s="7" t="str">
        <f>_xlfn.XLOOKUP(Production_Machine_1_Data_Entry!$D223,Data_Source!D:D, Data_Source!B:B, "Missing Value")</f>
        <v>RED</v>
      </c>
      <c r="F223" s="7" t="str">
        <f>_xlfn.XLOOKUP(Production_Machine_1_Data_Entry!$D223,Data_Source!D:D, Data_Source!E:E, "Missing Value")</f>
        <v>PROJECT DELTA</v>
      </c>
      <c r="G223" s="7"/>
      <c r="H223" s="7">
        <f>G223-I223</f>
        <v>0</v>
      </c>
      <c r="I223" s="7">
        <f>SUM(Production_Machine_1_Data_Entry!$J223:$T223)</f>
        <v>0</v>
      </c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 spans="1:20" x14ac:dyDescent="0.25">
      <c r="A224" s="9">
        <f ca="1">TODAY()</f>
        <v>46197</v>
      </c>
      <c r="B224" s="7" t="str">
        <f>_xlfn.XLOOKUP(Production_Machine_1_Data_Entry!$D224, Data_Source!D:D, Data_Source!A:A, "Missing Value")</f>
        <v>A1</v>
      </c>
      <c r="C224" s="7">
        <f>_xlfn.XLOOKUP(Production_Machine_1_Data_Entry!$D224, Data_Source!D:D,Data_Source!C:C, "Missing Value")</f>
        <v>112</v>
      </c>
      <c r="D224" s="7" t="s">
        <v>5</v>
      </c>
      <c r="E224" s="7" t="str">
        <f>_xlfn.XLOOKUP(Production_Machine_1_Data_Entry!$D224,Data_Source!D:D, Data_Source!B:B, "Missing Value")</f>
        <v>RED</v>
      </c>
      <c r="F224" s="7" t="str">
        <f>_xlfn.XLOOKUP(Production_Machine_1_Data_Entry!$D224,Data_Source!D:D, Data_Source!E:E, "Missing Value")</f>
        <v>PROJECT DELTA</v>
      </c>
      <c r="G224" s="7"/>
      <c r="H224" s="7">
        <f>G224-I224</f>
        <v>0</v>
      </c>
      <c r="I224" s="7">
        <f>SUM(Production_Machine_1_Data_Entry!$J224:$T224)</f>
        <v>0</v>
      </c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 spans="1:20" x14ac:dyDescent="0.25">
      <c r="A225" s="9">
        <f ca="1">TODAY()</f>
        <v>46197</v>
      </c>
      <c r="B225" s="7" t="str">
        <f>_xlfn.XLOOKUP(Production_Machine_1_Data_Entry!$D225, Data_Source!D:D, Data_Source!A:A, "Missing Value")</f>
        <v>A1</v>
      </c>
      <c r="C225" s="7">
        <f>_xlfn.XLOOKUP(Production_Machine_1_Data_Entry!$D225, Data_Source!D:D,Data_Source!C:C, "Missing Value")</f>
        <v>112</v>
      </c>
      <c r="D225" s="7" t="s">
        <v>5</v>
      </c>
      <c r="E225" s="7" t="str">
        <f>_xlfn.XLOOKUP(Production_Machine_1_Data_Entry!$D225,Data_Source!D:D, Data_Source!B:B, "Missing Value")</f>
        <v>RED</v>
      </c>
      <c r="F225" s="7" t="str">
        <f>_xlfn.XLOOKUP(Production_Machine_1_Data_Entry!$D225,Data_Source!D:D, Data_Source!E:E, "Missing Value")</f>
        <v>PROJECT DELTA</v>
      </c>
      <c r="G225" s="7"/>
      <c r="H225" s="7">
        <f>G225-I225</f>
        <v>0</v>
      </c>
      <c r="I225" s="7">
        <f>SUM(Production_Machine_1_Data_Entry!$J225:$T225)</f>
        <v>0</v>
      </c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 spans="1:20" x14ac:dyDescent="0.25">
      <c r="A226" s="9">
        <f ca="1">TODAY()</f>
        <v>46197</v>
      </c>
      <c r="B226" s="7" t="str">
        <f>_xlfn.XLOOKUP(Production_Machine_1_Data_Entry!$D226, Data_Source!D:D, Data_Source!A:A, "Missing Value")</f>
        <v>A1</v>
      </c>
      <c r="C226" s="7">
        <f>_xlfn.XLOOKUP(Production_Machine_1_Data_Entry!$D226, Data_Source!D:D,Data_Source!C:C, "Missing Value")</f>
        <v>112</v>
      </c>
      <c r="D226" s="7" t="s">
        <v>5</v>
      </c>
      <c r="E226" s="7" t="str">
        <f>_xlfn.XLOOKUP(Production_Machine_1_Data_Entry!$D226,Data_Source!D:D, Data_Source!B:B, "Missing Value")</f>
        <v>RED</v>
      </c>
      <c r="F226" s="7" t="str">
        <f>_xlfn.XLOOKUP(Production_Machine_1_Data_Entry!$D226,Data_Source!D:D, Data_Source!E:E, "Missing Value")</f>
        <v>PROJECT DELTA</v>
      </c>
      <c r="G226" s="7"/>
      <c r="H226" s="7">
        <f>G226-I226</f>
        <v>0</v>
      </c>
      <c r="I226" s="7">
        <f>SUM(Production_Machine_1_Data_Entry!$J226:$T226)</f>
        <v>0</v>
      </c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 spans="1:20" x14ac:dyDescent="0.25">
      <c r="A227" s="9">
        <f ca="1">TODAY()</f>
        <v>46197</v>
      </c>
      <c r="B227" s="7" t="str">
        <f>_xlfn.XLOOKUP(Production_Machine_1_Data_Entry!$D227, Data_Source!D:D, Data_Source!A:A, "Missing Value")</f>
        <v>A1</v>
      </c>
      <c r="C227" s="7">
        <f>_xlfn.XLOOKUP(Production_Machine_1_Data_Entry!$D227, Data_Source!D:D,Data_Source!C:C, "Missing Value")</f>
        <v>112</v>
      </c>
      <c r="D227" s="7" t="s">
        <v>5</v>
      </c>
      <c r="E227" s="7" t="str">
        <f>_xlfn.XLOOKUP(Production_Machine_1_Data_Entry!$D227,Data_Source!D:D, Data_Source!B:B, "Missing Value")</f>
        <v>RED</v>
      </c>
      <c r="F227" s="7" t="str">
        <f>_xlfn.XLOOKUP(Production_Machine_1_Data_Entry!$D227,Data_Source!D:D, Data_Source!E:E, "Missing Value")</f>
        <v>PROJECT DELTA</v>
      </c>
      <c r="G227" s="7"/>
      <c r="H227" s="7">
        <f>G227-I227</f>
        <v>0</v>
      </c>
      <c r="I227" s="7">
        <f>SUM(Production_Machine_1_Data_Entry!$J227:$T227)</f>
        <v>0</v>
      </c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 spans="1:20" x14ac:dyDescent="0.25">
      <c r="A228" s="9">
        <f ca="1">TODAY()</f>
        <v>46197</v>
      </c>
      <c r="B228" s="7" t="str">
        <f>_xlfn.XLOOKUP(Production_Machine_1_Data_Entry!$D228, Data_Source!D:D, Data_Source!A:A, "Missing Value")</f>
        <v>A1</v>
      </c>
      <c r="C228" s="7">
        <f>_xlfn.XLOOKUP(Production_Machine_1_Data_Entry!$D228, Data_Source!D:D,Data_Source!C:C, "Missing Value")</f>
        <v>112</v>
      </c>
      <c r="D228" s="7" t="s">
        <v>5</v>
      </c>
      <c r="E228" s="7" t="str">
        <f>_xlfn.XLOOKUP(Production_Machine_1_Data_Entry!$D228,Data_Source!D:D, Data_Source!B:B, "Missing Value")</f>
        <v>RED</v>
      </c>
      <c r="F228" s="7" t="str">
        <f>_xlfn.XLOOKUP(Production_Machine_1_Data_Entry!$D228,Data_Source!D:D, Data_Source!E:E, "Missing Value")</f>
        <v>PROJECT DELTA</v>
      </c>
      <c r="G228" s="7"/>
      <c r="H228" s="7">
        <f>G228-I228</f>
        <v>0</v>
      </c>
      <c r="I228" s="7">
        <f>SUM(Production_Machine_1_Data_Entry!$J228:$T228)</f>
        <v>0</v>
      </c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 spans="1:20" x14ac:dyDescent="0.25">
      <c r="A229" s="9">
        <f ca="1">TODAY()</f>
        <v>46197</v>
      </c>
      <c r="B229" s="7" t="str">
        <f>_xlfn.XLOOKUP(Production_Machine_1_Data_Entry!$D229, Data_Source!D:D, Data_Source!A:A, "Missing Value")</f>
        <v>A1</v>
      </c>
      <c r="C229" s="7">
        <f>_xlfn.XLOOKUP(Production_Machine_1_Data_Entry!$D229, Data_Source!D:D,Data_Source!C:C, "Missing Value")</f>
        <v>112</v>
      </c>
      <c r="D229" s="7" t="s">
        <v>5</v>
      </c>
      <c r="E229" s="7" t="str">
        <f>_xlfn.XLOOKUP(Production_Machine_1_Data_Entry!$D229,Data_Source!D:D, Data_Source!B:B, "Missing Value")</f>
        <v>RED</v>
      </c>
      <c r="F229" s="7" t="str">
        <f>_xlfn.XLOOKUP(Production_Machine_1_Data_Entry!$D229,Data_Source!D:D, Data_Source!E:E, "Missing Value")</f>
        <v>PROJECT DELTA</v>
      </c>
      <c r="G229" s="7"/>
      <c r="H229" s="7">
        <f>G229-I229</f>
        <v>0</v>
      </c>
      <c r="I229" s="7">
        <f>SUM(Production_Machine_1_Data_Entry!$J229:$T229)</f>
        <v>0</v>
      </c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 spans="1:20" x14ac:dyDescent="0.25">
      <c r="A230" s="9">
        <f ca="1">TODAY()</f>
        <v>46197</v>
      </c>
      <c r="B230" s="7" t="str">
        <f>_xlfn.XLOOKUP(Production_Machine_1_Data_Entry!$D230, Data_Source!D:D, Data_Source!A:A, "Missing Value")</f>
        <v>A1</v>
      </c>
      <c r="C230" s="7">
        <f>_xlfn.XLOOKUP(Production_Machine_1_Data_Entry!$D230, Data_Source!D:D,Data_Source!C:C, "Missing Value")</f>
        <v>112</v>
      </c>
      <c r="D230" s="7" t="s">
        <v>5</v>
      </c>
      <c r="E230" s="7" t="str">
        <f>_xlfn.XLOOKUP(Production_Machine_1_Data_Entry!$D230,Data_Source!D:D, Data_Source!B:B, "Missing Value")</f>
        <v>RED</v>
      </c>
      <c r="F230" s="7" t="str">
        <f>_xlfn.XLOOKUP(Production_Machine_1_Data_Entry!$D230,Data_Source!D:D, Data_Source!E:E, "Missing Value")</f>
        <v>PROJECT DELTA</v>
      </c>
      <c r="G230" s="7"/>
      <c r="H230" s="7">
        <f>G230-I230</f>
        <v>0</v>
      </c>
      <c r="I230" s="7">
        <f>SUM(Production_Machine_1_Data_Entry!$J230:$T230)</f>
        <v>0</v>
      </c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 spans="1:20" x14ac:dyDescent="0.25">
      <c r="A231" s="9">
        <f ca="1">TODAY()</f>
        <v>46197</v>
      </c>
      <c r="B231" s="7" t="str">
        <f>_xlfn.XLOOKUP(Production_Machine_1_Data_Entry!$D231, Data_Source!D:D, Data_Source!A:A, "Missing Value")</f>
        <v>A1</v>
      </c>
      <c r="C231" s="7">
        <f>_xlfn.XLOOKUP(Production_Machine_1_Data_Entry!$D231, Data_Source!D:D,Data_Source!C:C, "Missing Value")</f>
        <v>112</v>
      </c>
      <c r="D231" s="7" t="s">
        <v>5</v>
      </c>
      <c r="E231" s="7" t="str">
        <f>_xlfn.XLOOKUP(Production_Machine_1_Data_Entry!$D231,Data_Source!D:D, Data_Source!B:B, "Missing Value")</f>
        <v>RED</v>
      </c>
      <c r="F231" s="7" t="str">
        <f>_xlfn.XLOOKUP(Production_Machine_1_Data_Entry!$D231,Data_Source!D:D, Data_Source!E:E, "Missing Value")</f>
        <v>PROJECT DELTA</v>
      </c>
      <c r="G231" s="7"/>
      <c r="H231" s="7">
        <f>G231-I231</f>
        <v>0</v>
      </c>
      <c r="I231" s="7">
        <f>SUM(Production_Machine_1_Data_Entry!$J231:$T231)</f>
        <v>0</v>
      </c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 spans="1:20" x14ac:dyDescent="0.25">
      <c r="A232" s="9">
        <f ca="1">TODAY()</f>
        <v>46197</v>
      </c>
      <c r="B232" s="7" t="str">
        <f>_xlfn.XLOOKUP(Production_Machine_1_Data_Entry!$D232, Data_Source!D:D, Data_Source!A:A, "Missing Value")</f>
        <v>A1</v>
      </c>
      <c r="C232" s="7">
        <f>_xlfn.XLOOKUP(Production_Machine_1_Data_Entry!$D232, Data_Source!D:D,Data_Source!C:C, "Missing Value")</f>
        <v>112</v>
      </c>
      <c r="D232" s="7" t="s">
        <v>5</v>
      </c>
      <c r="E232" s="7" t="str">
        <f>_xlfn.XLOOKUP(Production_Machine_1_Data_Entry!$D232,Data_Source!D:D, Data_Source!B:B, "Missing Value")</f>
        <v>RED</v>
      </c>
      <c r="F232" s="7" t="str">
        <f>_xlfn.XLOOKUP(Production_Machine_1_Data_Entry!$D232,Data_Source!D:D, Data_Source!E:E, "Missing Value")</f>
        <v>PROJECT DELTA</v>
      </c>
      <c r="G232" s="7"/>
      <c r="H232" s="7">
        <f>G232-I232</f>
        <v>0</v>
      </c>
      <c r="I232" s="7">
        <f>SUM(Production_Machine_1_Data_Entry!$J232:$T232)</f>
        <v>0</v>
      </c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 spans="1:20" x14ac:dyDescent="0.25">
      <c r="A233" s="9">
        <f ca="1">TODAY()</f>
        <v>46197</v>
      </c>
      <c r="B233" s="7" t="str">
        <f>_xlfn.XLOOKUP(Production_Machine_1_Data_Entry!$D233, Data_Source!D:D, Data_Source!A:A, "Missing Value")</f>
        <v>A1</v>
      </c>
      <c r="C233" s="7">
        <f>_xlfn.XLOOKUP(Production_Machine_1_Data_Entry!$D233, Data_Source!D:D,Data_Source!C:C, "Missing Value")</f>
        <v>112</v>
      </c>
      <c r="D233" s="7" t="s">
        <v>5</v>
      </c>
      <c r="E233" s="7" t="str">
        <f>_xlfn.XLOOKUP(Production_Machine_1_Data_Entry!$D233,Data_Source!D:D, Data_Source!B:B, "Missing Value")</f>
        <v>RED</v>
      </c>
      <c r="F233" s="7" t="str">
        <f>_xlfn.XLOOKUP(Production_Machine_1_Data_Entry!$D233,Data_Source!D:D, Data_Source!E:E, "Missing Value")</f>
        <v>PROJECT DELTA</v>
      </c>
      <c r="G233" s="7"/>
      <c r="H233" s="7">
        <f>G233-I233</f>
        <v>0</v>
      </c>
      <c r="I233" s="7">
        <f>SUM(Production_Machine_1_Data_Entry!$J233:$T233)</f>
        <v>0</v>
      </c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 spans="1:20" x14ac:dyDescent="0.25">
      <c r="A234" s="9">
        <f ca="1">TODAY()</f>
        <v>46197</v>
      </c>
      <c r="B234" s="7" t="str">
        <f>_xlfn.XLOOKUP(Production_Machine_1_Data_Entry!$D234, Data_Source!D:D, Data_Source!A:A, "Missing Value")</f>
        <v>A1</v>
      </c>
      <c r="C234" s="7">
        <f>_xlfn.XLOOKUP(Production_Machine_1_Data_Entry!$D234, Data_Source!D:D,Data_Source!C:C, "Missing Value")</f>
        <v>112</v>
      </c>
      <c r="D234" s="7" t="s">
        <v>5</v>
      </c>
      <c r="E234" s="7" t="str">
        <f>_xlfn.XLOOKUP(Production_Machine_1_Data_Entry!$D234,Data_Source!D:D, Data_Source!B:B, "Missing Value")</f>
        <v>RED</v>
      </c>
      <c r="F234" s="7" t="str">
        <f>_xlfn.XLOOKUP(Production_Machine_1_Data_Entry!$D234,Data_Source!D:D, Data_Source!E:E, "Missing Value")</f>
        <v>PROJECT DELTA</v>
      </c>
      <c r="G234" s="7"/>
      <c r="H234" s="7">
        <f>G234-I234</f>
        <v>0</v>
      </c>
      <c r="I234" s="7">
        <f>SUM(Production_Machine_1_Data_Entry!$J234:$T234)</f>
        <v>0</v>
      </c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 spans="1:20" x14ac:dyDescent="0.25">
      <c r="A235" s="9">
        <f ca="1">TODAY()</f>
        <v>46197</v>
      </c>
      <c r="B235" s="7" t="str">
        <f>_xlfn.XLOOKUP(Production_Machine_1_Data_Entry!$D235, Data_Source!D:D, Data_Source!A:A, "Missing Value")</f>
        <v>A1</v>
      </c>
      <c r="C235" s="7">
        <f>_xlfn.XLOOKUP(Production_Machine_1_Data_Entry!$D235, Data_Source!D:D,Data_Source!C:C, "Missing Value")</f>
        <v>112</v>
      </c>
      <c r="D235" s="7" t="s">
        <v>5</v>
      </c>
      <c r="E235" s="7" t="str">
        <f>_xlfn.XLOOKUP(Production_Machine_1_Data_Entry!$D235,Data_Source!D:D, Data_Source!B:B, "Missing Value")</f>
        <v>RED</v>
      </c>
      <c r="F235" s="7" t="str">
        <f>_xlfn.XLOOKUP(Production_Machine_1_Data_Entry!$D235,Data_Source!D:D, Data_Source!E:E, "Missing Value")</f>
        <v>PROJECT DELTA</v>
      </c>
      <c r="G235" s="7"/>
      <c r="H235" s="7">
        <f>G235-I235</f>
        <v>0</v>
      </c>
      <c r="I235" s="7">
        <f>SUM(Production_Machine_1_Data_Entry!$J235:$T235)</f>
        <v>0</v>
      </c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 spans="1:20" x14ac:dyDescent="0.25">
      <c r="A236" s="9">
        <f ca="1">TODAY()</f>
        <v>46197</v>
      </c>
      <c r="B236" s="7" t="str">
        <f>_xlfn.XLOOKUP(Production_Machine_1_Data_Entry!$D236, Data_Source!D:D, Data_Source!A:A, "Missing Value")</f>
        <v>A1</v>
      </c>
      <c r="C236" s="7">
        <f>_xlfn.XLOOKUP(Production_Machine_1_Data_Entry!$D236, Data_Source!D:D,Data_Source!C:C, "Missing Value")</f>
        <v>112</v>
      </c>
      <c r="D236" s="7" t="s">
        <v>5</v>
      </c>
      <c r="E236" s="7" t="str">
        <f>_xlfn.XLOOKUP(Production_Machine_1_Data_Entry!$D236,Data_Source!D:D, Data_Source!B:B, "Missing Value")</f>
        <v>RED</v>
      </c>
      <c r="F236" s="7" t="str">
        <f>_xlfn.XLOOKUP(Production_Machine_1_Data_Entry!$D236,Data_Source!D:D, Data_Source!E:E, "Missing Value")</f>
        <v>PROJECT DELTA</v>
      </c>
      <c r="G236" s="7"/>
      <c r="H236" s="7">
        <f>G236-I236</f>
        <v>0</v>
      </c>
      <c r="I236" s="7">
        <f>SUM(Production_Machine_1_Data_Entry!$J236:$T236)</f>
        <v>0</v>
      </c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 spans="1:20" x14ac:dyDescent="0.25">
      <c r="A237" s="9">
        <f ca="1">TODAY()</f>
        <v>46197</v>
      </c>
      <c r="B237" s="7" t="str">
        <f>_xlfn.XLOOKUP(Production_Machine_1_Data_Entry!$D237, Data_Source!D:D, Data_Source!A:A, "Missing Value")</f>
        <v>A1</v>
      </c>
      <c r="C237" s="7">
        <f>_xlfn.XLOOKUP(Production_Machine_1_Data_Entry!$D237, Data_Source!D:D,Data_Source!C:C, "Missing Value")</f>
        <v>112</v>
      </c>
      <c r="D237" s="7" t="s">
        <v>5</v>
      </c>
      <c r="E237" s="7" t="str">
        <f>_xlfn.XLOOKUP(Production_Machine_1_Data_Entry!$D237,Data_Source!D:D, Data_Source!B:B, "Missing Value")</f>
        <v>RED</v>
      </c>
      <c r="F237" s="7" t="str">
        <f>_xlfn.XLOOKUP(Production_Machine_1_Data_Entry!$D237,Data_Source!D:D, Data_Source!E:E, "Missing Value")</f>
        <v>PROJECT DELTA</v>
      </c>
      <c r="G237" s="7"/>
      <c r="H237" s="7">
        <f>G237-I237</f>
        <v>0</v>
      </c>
      <c r="I237" s="7">
        <f>SUM(Production_Machine_1_Data_Entry!$J237:$T237)</f>
        <v>0</v>
      </c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 spans="1:20" x14ac:dyDescent="0.25">
      <c r="A238" s="9">
        <f ca="1">TODAY()</f>
        <v>46197</v>
      </c>
      <c r="B238" s="7" t="str">
        <f>_xlfn.XLOOKUP(Production_Machine_1_Data_Entry!$D238, Data_Source!D:D, Data_Source!A:A, "Missing Value")</f>
        <v>A1</v>
      </c>
      <c r="C238" s="7">
        <f>_xlfn.XLOOKUP(Production_Machine_1_Data_Entry!$D238, Data_Source!D:D,Data_Source!C:C, "Missing Value")</f>
        <v>112</v>
      </c>
      <c r="D238" s="7" t="s">
        <v>5</v>
      </c>
      <c r="E238" s="7" t="str">
        <f>_xlfn.XLOOKUP(Production_Machine_1_Data_Entry!$D238,Data_Source!D:D, Data_Source!B:B, "Missing Value")</f>
        <v>RED</v>
      </c>
      <c r="F238" s="7" t="str">
        <f>_xlfn.XLOOKUP(Production_Machine_1_Data_Entry!$D238,Data_Source!D:D, Data_Source!E:E, "Missing Value")</f>
        <v>PROJECT DELTA</v>
      </c>
      <c r="G238" s="7"/>
      <c r="H238" s="7">
        <f>G238-I238</f>
        <v>0</v>
      </c>
      <c r="I238" s="7">
        <f>SUM(Production_Machine_1_Data_Entry!$J238:$T238)</f>
        <v>0</v>
      </c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 spans="1:20" x14ac:dyDescent="0.25">
      <c r="A239" s="9">
        <f ca="1">TODAY()</f>
        <v>46197</v>
      </c>
      <c r="B239" s="7" t="str">
        <f>_xlfn.XLOOKUP(Production_Machine_1_Data_Entry!$D239, Data_Source!D:D, Data_Source!A:A, "Missing Value")</f>
        <v>A1</v>
      </c>
      <c r="C239" s="7">
        <f>_xlfn.XLOOKUP(Production_Machine_1_Data_Entry!$D239, Data_Source!D:D,Data_Source!C:C, "Missing Value")</f>
        <v>112</v>
      </c>
      <c r="D239" s="7" t="s">
        <v>5</v>
      </c>
      <c r="E239" s="7" t="str">
        <f>_xlfn.XLOOKUP(Production_Machine_1_Data_Entry!$D239,Data_Source!D:D, Data_Source!B:B, "Missing Value")</f>
        <v>RED</v>
      </c>
      <c r="F239" s="7" t="str">
        <f>_xlfn.XLOOKUP(Production_Machine_1_Data_Entry!$D239,Data_Source!D:D, Data_Source!E:E, "Missing Value")</f>
        <v>PROJECT DELTA</v>
      </c>
      <c r="G239" s="7"/>
      <c r="H239" s="7">
        <f>G239-I239</f>
        <v>0</v>
      </c>
      <c r="I239" s="7">
        <f>SUM(Production_Machine_1_Data_Entry!$J239:$T239)</f>
        <v>0</v>
      </c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 spans="1:20" x14ac:dyDescent="0.25">
      <c r="A240" s="9">
        <f ca="1">TODAY()</f>
        <v>46197</v>
      </c>
      <c r="B240" s="7" t="str">
        <f>_xlfn.XLOOKUP(Production_Machine_1_Data_Entry!$D240, Data_Source!D:D, Data_Source!A:A, "Missing Value")</f>
        <v>A1</v>
      </c>
      <c r="C240" s="7">
        <f>_xlfn.XLOOKUP(Production_Machine_1_Data_Entry!$D240, Data_Source!D:D,Data_Source!C:C, "Missing Value")</f>
        <v>112</v>
      </c>
      <c r="D240" s="7" t="s">
        <v>5</v>
      </c>
      <c r="E240" s="7" t="str">
        <f>_xlfn.XLOOKUP(Production_Machine_1_Data_Entry!$D240,Data_Source!D:D, Data_Source!B:B, "Missing Value")</f>
        <v>RED</v>
      </c>
      <c r="F240" s="7" t="str">
        <f>_xlfn.XLOOKUP(Production_Machine_1_Data_Entry!$D240,Data_Source!D:D, Data_Source!E:E, "Missing Value")</f>
        <v>PROJECT DELTA</v>
      </c>
      <c r="G240" s="7"/>
      <c r="H240" s="7">
        <f>G240-I240</f>
        <v>0</v>
      </c>
      <c r="I240" s="7">
        <f>SUM(Production_Machine_1_Data_Entry!$J240:$T240)</f>
        <v>0</v>
      </c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 spans="1:20" x14ac:dyDescent="0.25">
      <c r="A241" s="9">
        <f ca="1">TODAY()</f>
        <v>46197</v>
      </c>
      <c r="B241" s="7" t="str">
        <f>_xlfn.XLOOKUP(Production_Machine_1_Data_Entry!$D241, Data_Source!D:D, Data_Source!A:A, "Missing Value")</f>
        <v>A1</v>
      </c>
      <c r="C241" s="7">
        <f>_xlfn.XLOOKUP(Production_Machine_1_Data_Entry!$D241, Data_Source!D:D,Data_Source!C:C, "Missing Value")</f>
        <v>112</v>
      </c>
      <c r="D241" s="7" t="s">
        <v>5</v>
      </c>
      <c r="E241" s="7" t="str">
        <f>_xlfn.XLOOKUP(Production_Machine_1_Data_Entry!$D241,Data_Source!D:D, Data_Source!B:B, "Missing Value")</f>
        <v>RED</v>
      </c>
      <c r="F241" s="7" t="str">
        <f>_xlfn.XLOOKUP(Production_Machine_1_Data_Entry!$D241,Data_Source!D:D, Data_Source!E:E, "Missing Value")</f>
        <v>PROJECT DELTA</v>
      </c>
      <c r="G241" s="7"/>
      <c r="H241" s="7">
        <f>G241-I241</f>
        <v>0</v>
      </c>
      <c r="I241" s="7">
        <f>SUM(Production_Machine_1_Data_Entry!$J241:$T241)</f>
        <v>0</v>
      </c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 spans="1:20" x14ac:dyDescent="0.25">
      <c r="A242" s="9">
        <f ca="1">TODAY()</f>
        <v>46197</v>
      </c>
      <c r="B242" s="7" t="str">
        <f>_xlfn.XLOOKUP(Production_Machine_1_Data_Entry!$D242, Data_Source!D:D, Data_Source!A:A, "Missing Value")</f>
        <v>A1</v>
      </c>
      <c r="C242" s="7">
        <f>_xlfn.XLOOKUP(Production_Machine_1_Data_Entry!$D242, Data_Source!D:D,Data_Source!C:C, "Missing Value")</f>
        <v>112</v>
      </c>
      <c r="D242" s="7" t="s">
        <v>5</v>
      </c>
      <c r="E242" s="7" t="str">
        <f>_xlfn.XLOOKUP(Production_Machine_1_Data_Entry!$D242,Data_Source!D:D, Data_Source!B:B, "Missing Value")</f>
        <v>RED</v>
      </c>
      <c r="F242" s="7" t="str">
        <f>_xlfn.XLOOKUP(Production_Machine_1_Data_Entry!$D242,Data_Source!D:D, Data_Source!E:E, "Missing Value")</f>
        <v>PROJECT DELTA</v>
      </c>
      <c r="G242" s="7"/>
      <c r="H242" s="7">
        <f>G242-I242</f>
        <v>0</v>
      </c>
      <c r="I242" s="7">
        <f>SUM(Production_Machine_1_Data_Entry!$J242:$T242)</f>
        <v>0</v>
      </c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 spans="1:20" x14ac:dyDescent="0.25">
      <c r="A243" s="9">
        <f ca="1">TODAY()</f>
        <v>46197</v>
      </c>
      <c r="B243" s="7" t="str">
        <f>_xlfn.XLOOKUP(Production_Machine_1_Data_Entry!$D243, Data_Source!D:D, Data_Source!A:A, "Missing Value")</f>
        <v>A2</v>
      </c>
      <c r="C243" s="7">
        <f>_xlfn.XLOOKUP(Production_Machine_1_Data_Entry!$D243, Data_Source!D:D,Data_Source!C:C, "Missing Value")</f>
        <v>111</v>
      </c>
      <c r="D243" s="7" t="s">
        <v>6</v>
      </c>
      <c r="E243" s="7" t="str">
        <f>_xlfn.XLOOKUP(Production_Machine_1_Data_Entry!$D243,Data_Source!D:D, Data_Source!B:B, "Missing Value")</f>
        <v>BLUE</v>
      </c>
      <c r="F243" s="7" t="str">
        <f>_xlfn.XLOOKUP(Production_Machine_1_Data_Entry!$D243,Data_Source!D:D, Data_Source!E:E, "Missing Value")</f>
        <v>PROJECT ECHO</v>
      </c>
      <c r="G243" s="7"/>
      <c r="H243" s="7">
        <f>G243-I243</f>
        <v>0</v>
      </c>
      <c r="I243" s="7">
        <f>SUM(Production_Machine_1_Data_Entry!$J243:$T243)</f>
        <v>0</v>
      </c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 spans="1:20" x14ac:dyDescent="0.25">
      <c r="A244" s="9">
        <f ca="1">TODAY()</f>
        <v>46197</v>
      </c>
      <c r="B244" s="7" t="str">
        <f>_xlfn.XLOOKUP(Production_Machine_1_Data_Entry!$D244, Data_Source!D:D, Data_Source!A:A, "Missing Value")</f>
        <v>A3</v>
      </c>
      <c r="C244" s="7">
        <f>_xlfn.XLOOKUP(Production_Machine_1_Data_Entry!$D244, Data_Source!D:D,Data_Source!C:C, "Missing Value")</f>
        <v>113</v>
      </c>
      <c r="D244" s="7" t="s">
        <v>7</v>
      </c>
      <c r="E244" s="7" t="str">
        <f>_xlfn.XLOOKUP(Production_Machine_1_Data_Entry!$D244,Data_Source!D:D, Data_Source!B:B, "Missing Value")</f>
        <v>GREEN</v>
      </c>
      <c r="F244" s="7" t="str">
        <f>_xlfn.XLOOKUP(Production_Machine_1_Data_Entry!$D244,Data_Source!D:D, Data_Source!E:E, "Missing Value")</f>
        <v>PROJECT FOXTROT</v>
      </c>
      <c r="G244" s="7"/>
      <c r="H244" s="7">
        <f>G244-I244</f>
        <v>0</v>
      </c>
      <c r="I244" s="7">
        <f>SUM(Production_Machine_1_Data_Entry!$J244:$T244)</f>
        <v>0</v>
      </c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 spans="1:20" x14ac:dyDescent="0.25">
      <c r="A245" s="9">
        <f ca="1">TODAY()</f>
        <v>46197</v>
      </c>
      <c r="B245" s="7" t="str">
        <f>_xlfn.XLOOKUP(Production_Machine_1_Data_Entry!$D245, Data_Source!D:D, Data_Source!A:A, "Missing Value")</f>
        <v>B1</v>
      </c>
      <c r="C245" s="7">
        <f>_xlfn.XLOOKUP(Production_Machine_1_Data_Entry!$D245, Data_Source!D:D,Data_Source!C:C, "Missing Value")</f>
        <v>112</v>
      </c>
      <c r="D245" s="7" t="s">
        <v>8</v>
      </c>
      <c r="E245" s="7" t="str">
        <f>_xlfn.XLOOKUP(Production_Machine_1_Data_Entry!$D245,Data_Source!D:D, Data_Source!B:B, "Missing Value")</f>
        <v>RED</v>
      </c>
      <c r="F245" s="7" t="str">
        <f>_xlfn.XLOOKUP(Production_Machine_1_Data_Entry!$D245,Data_Source!D:D, Data_Source!E:E, "Missing Value")</f>
        <v>PROJECT GOLF</v>
      </c>
      <c r="G245" s="7"/>
      <c r="H245" s="7">
        <f>G245-I245</f>
        <v>0</v>
      </c>
      <c r="I245" s="7">
        <f>SUM(Production_Machine_1_Data_Entry!$J245:$T245)</f>
        <v>0</v>
      </c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 spans="1:20" x14ac:dyDescent="0.25">
      <c r="A246" s="9">
        <f ca="1">TODAY()</f>
        <v>46197</v>
      </c>
      <c r="B246" s="7" t="str">
        <f>_xlfn.XLOOKUP(Production_Machine_1_Data_Entry!$D246, Data_Source!D:D, Data_Source!A:A, "Missing Value")</f>
        <v>B2</v>
      </c>
      <c r="C246" s="7">
        <f>_xlfn.XLOOKUP(Production_Machine_1_Data_Entry!$D246, Data_Source!D:D,Data_Source!C:C, "Missing Value")</f>
        <v>111</v>
      </c>
      <c r="D246" s="7" t="s">
        <v>9</v>
      </c>
      <c r="E246" s="7" t="str">
        <f>_xlfn.XLOOKUP(Production_Machine_1_Data_Entry!$D246,Data_Source!D:D, Data_Source!B:B, "Missing Value")</f>
        <v>BLUE</v>
      </c>
      <c r="F246" s="7" t="str">
        <f>_xlfn.XLOOKUP(Production_Machine_1_Data_Entry!$D246,Data_Source!D:D, Data_Source!E:E, "Missing Value")</f>
        <v>PROJECT HOTEL</v>
      </c>
      <c r="G246" s="7"/>
      <c r="H246" s="7">
        <f>G246-I246</f>
        <v>0</v>
      </c>
      <c r="I246" s="7">
        <f>SUM(Production_Machine_1_Data_Entry!$J246:$T246)</f>
        <v>0</v>
      </c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 spans="1:20" x14ac:dyDescent="0.25">
      <c r="A247" s="9">
        <f ca="1">TODAY()</f>
        <v>46197</v>
      </c>
      <c r="B247" s="7" t="str">
        <f>_xlfn.XLOOKUP(Production_Machine_1_Data_Entry!$D247, Data_Source!D:D, Data_Source!A:A, "Missing Value")</f>
        <v>B3</v>
      </c>
      <c r="C247" s="7">
        <f>_xlfn.XLOOKUP(Production_Machine_1_Data_Entry!$D247, Data_Source!D:D,Data_Source!C:C, "Missing Value")</f>
        <v>113</v>
      </c>
      <c r="D247" s="7" t="s">
        <v>10</v>
      </c>
      <c r="E247" s="7" t="str">
        <f>_xlfn.XLOOKUP(Production_Machine_1_Data_Entry!$D247,Data_Source!D:D, Data_Source!B:B, "Missing Value")</f>
        <v>GREEN</v>
      </c>
      <c r="F247" s="7" t="str">
        <f>_xlfn.XLOOKUP(Production_Machine_1_Data_Entry!$D247,Data_Source!D:D, Data_Source!E:E, "Missing Value")</f>
        <v>PROJECT INDIA</v>
      </c>
      <c r="G247" s="7"/>
      <c r="H247" s="7">
        <f>G247-I247</f>
        <v>0</v>
      </c>
      <c r="I247" s="7">
        <f>SUM(Production_Machine_1_Data_Entry!$J247:$T247)</f>
        <v>0</v>
      </c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 spans="1:20" x14ac:dyDescent="0.25">
      <c r="A248" s="10">
        <f ca="1">TODAY()</f>
        <v>46197</v>
      </c>
      <c r="B248" s="8" t="str">
        <f>_xlfn.XLOOKUP(Production_Machine_1_Data_Entry!$D248, Data_Source!D:D, Data_Source!A:A, "Missing Value")</f>
        <v>B1</v>
      </c>
      <c r="C248" s="8">
        <f>_xlfn.XLOOKUP(Production_Machine_1_Data_Entry!$D248, Data_Source!D:D,Data_Source!C:C, "Missing Value")</f>
        <v>112</v>
      </c>
      <c r="D248" s="8" t="s">
        <v>8</v>
      </c>
      <c r="E248" s="8" t="str">
        <f>_xlfn.XLOOKUP(Production_Machine_1_Data_Entry!$D248,Data_Source!D:D, Data_Source!B:B, "Missing Value")</f>
        <v>RED</v>
      </c>
      <c r="F248" s="8" t="str">
        <f>_xlfn.XLOOKUP(Production_Machine_1_Data_Entry!$D248,Data_Source!D:D, Data_Source!E:E, "Missing Value")</f>
        <v>PROJECT GOLF</v>
      </c>
      <c r="G248" s="8"/>
      <c r="H248" s="6">
        <f>G248-I248</f>
        <v>0</v>
      </c>
      <c r="I248" s="6">
        <f>SUM(Production_Machine_1_Data_Entry!$J248:$T248)</f>
        <v>0</v>
      </c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</row>
    <row r="249" spans="1:20" x14ac:dyDescent="0.25">
      <c r="A249" s="15">
        <f ca="1">TODAY()</f>
        <v>46197</v>
      </c>
      <c r="B249" s="7" t="str">
        <f>_xlfn.XLOOKUP(Production_Machine_1_Data_Entry!$D249, Data_Source!D:D, Data_Source!A:A, "Missing Value")</f>
        <v>B3</v>
      </c>
      <c r="C249" s="7">
        <f>_xlfn.XLOOKUP(Production_Machine_1_Data_Entry!$D249, Data_Source!D:D,Data_Source!C:C, "Missing Value")</f>
        <v>113</v>
      </c>
      <c r="D249" s="16" t="s">
        <v>10</v>
      </c>
      <c r="E249" s="7" t="str">
        <f>_xlfn.XLOOKUP(Production_Machine_1_Data_Entry!$D249,Data_Source!D:D, Data_Source!B:B, "Missing Value")</f>
        <v>GREEN</v>
      </c>
      <c r="F249" s="7" t="str">
        <f>_xlfn.XLOOKUP(Production_Machine_1_Data_Entry!$D249,Data_Source!D:D, Data_Source!E:E, "Missing Value")</f>
        <v>PROJECT INDIA</v>
      </c>
      <c r="G249" s="7"/>
      <c r="H249" s="7">
        <f>G249-I249</f>
        <v>0</v>
      </c>
      <c r="I249" s="16">
        <f>SUM(Production_Machine_1_Data_Entry!$J249:$T249)</f>
        <v>0</v>
      </c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 spans="1:20" x14ac:dyDescent="0.25">
      <c r="A250" s="15">
        <f ca="1">TODAY()</f>
        <v>46197</v>
      </c>
      <c r="B250" s="7" t="str">
        <f>_xlfn.XLOOKUP(Production_Machine_1_Data_Entry!$D250, Data_Source!D:D, Data_Source!A:A, "Missing Value")</f>
        <v>A1</v>
      </c>
      <c r="C250" s="7">
        <f>_xlfn.XLOOKUP(Production_Machine_1_Data_Entry!$D250, Data_Source!D:D,Data_Source!C:C, "Missing Value")</f>
        <v>112</v>
      </c>
      <c r="D250" s="16" t="s">
        <v>5</v>
      </c>
      <c r="E250" s="7" t="str">
        <f>_xlfn.XLOOKUP(Production_Machine_1_Data_Entry!$D250,Data_Source!D:D, Data_Source!B:B, "Missing Value")</f>
        <v>RED</v>
      </c>
      <c r="F250" s="7" t="str">
        <f>_xlfn.XLOOKUP(Production_Machine_1_Data_Entry!$D250,Data_Source!D:D, Data_Source!E:E, "Missing Value")</f>
        <v>PROJECT DELTA</v>
      </c>
      <c r="G250" s="7"/>
      <c r="H250" s="7">
        <f>G250-I250</f>
        <v>0</v>
      </c>
      <c r="I250" s="16">
        <f>SUM(Production_Machine_1_Data_Entry!$J250:$T250)</f>
        <v>0</v>
      </c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 spans="1:20" x14ac:dyDescent="0.25">
      <c r="A251" s="5"/>
      <c r="D251" s="5"/>
      <c r="I251" s="5"/>
    </row>
    <row r="252" spans="1:20" x14ac:dyDescent="0.25">
      <c r="A252" s="5"/>
      <c r="D252" s="5"/>
      <c r="I252" s="5"/>
    </row>
    <row r="253" spans="1:20" x14ac:dyDescent="0.25">
      <c r="A253" s="5"/>
      <c r="D253" s="5"/>
      <c r="I253" s="5"/>
    </row>
    <row r="254" spans="1:20" x14ac:dyDescent="0.25">
      <c r="A254" s="5"/>
      <c r="D254" s="5"/>
      <c r="I254" s="5"/>
    </row>
    <row r="255" spans="1:20" x14ac:dyDescent="0.25">
      <c r="A255" s="5"/>
      <c r="D255" s="5"/>
      <c r="I255" s="5"/>
    </row>
    <row r="256" spans="1:20" x14ac:dyDescent="0.25">
      <c r="A256" s="5"/>
      <c r="D256" s="5"/>
      <c r="I256" s="5"/>
    </row>
    <row r="257" spans="1:9" x14ac:dyDescent="0.25">
      <c r="A257" s="5"/>
      <c r="D257" s="5"/>
      <c r="I257" s="5"/>
    </row>
    <row r="258" spans="1:9" x14ac:dyDescent="0.25">
      <c r="A258" s="5"/>
      <c r="D258" s="5"/>
      <c r="I258" s="5"/>
    </row>
    <row r="259" spans="1:9" x14ac:dyDescent="0.25">
      <c r="A259" s="5"/>
      <c r="D259" s="5"/>
      <c r="I259" s="5"/>
    </row>
    <row r="260" spans="1:9" x14ac:dyDescent="0.25">
      <c r="A260" s="5"/>
      <c r="D260" s="5"/>
      <c r="I260" s="5"/>
    </row>
    <row r="261" spans="1:9" x14ac:dyDescent="0.25">
      <c r="A261" s="5"/>
      <c r="D261" s="5"/>
      <c r="I261" s="5"/>
    </row>
    <row r="262" spans="1:9" x14ac:dyDescent="0.25">
      <c r="A262" s="5"/>
      <c r="D262" s="5"/>
      <c r="I262" s="5"/>
    </row>
    <row r="263" spans="1:9" x14ac:dyDescent="0.25">
      <c r="A263" s="5"/>
      <c r="D263" s="5"/>
      <c r="I263" s="5"/>
    </row>
    <row r="264" spans="1:9" x14ac:dyDescent="0.25">
      <c r="A264" s="5"/>
      <c r="D264" s="5"/>
      <c r="I264" s="5"/>
    </row>
    <row r="265" spans="1:9" x14ac:dyDescent="0.25">
      <c r="A265" s="5"/>
      <c r="D265" s="5"/>
      <c r="I265" s="5"/>
    </row>
    <row r="266" spans="1:9" x14ac:dyDescent="0.25">
      <c r="A266" s="5"/>
      <c r="D266" s="5"/>
      <c r="I266" s="5"/>
    </row>
    <row r="267" spans="1:9" x14ac:dyDescent="0.25">
      <c r="A267" s="5"/>
      <c r="D267" s="5"/>
      <c r="I267" s="5"/>
    </row>
    <row r="268" spans="1:9" x14ac:dyDescent="0.25">
      <c r="A268" s="5"/>
      <c r="D268" s="5"/>
      <c r="I268" s="5"/>
    </row>
    <row r="269" spans="1:9" x14ac:dyDescent="0.25">
      <c r="A269" s="5"/>
      <c r="D269" s="5"/>
      <c r="I269" s="5"/>
    </row>
    <row r="270" spans="1:9" x14ac:dyDescent="0.25">
      <c r="A270" s="5"/>
      <c r="D270" s="5"/>
      <c r="I270" s="5"/>
    </row>
    <row r="271" spans="1:9" x14ac:dyDescent="0.25">
      <c r="A271" s="5"/>
      <c r="D271" s="5"/>
      <c r="I271" s="5"/>
    </row>
    <row r="272" spans="1:9" x14ac:dyDescent="0.25">
      <c r="A272" s="5"/>
      <c r="D272" s="5"/>
      <c r="I272" s="5"/>
    </row>
    <row r="273" spans="1:9" x14ac:dyDescent="0.25">
      <c r="A273" s="5"/>
      <c r="D273" s="5"/>
      <c r="I273" s="5"/>
    </row>
    <row r="274" spans="1:9" x14ac:dyDescent="0.25">
      <c r="A274" s="5"/>
      <c r="D274" s="5"/>
      <c r="I274" s="5"/>
    </row>
    <row r="275" spans="1:9" x14ac:dyDescent="0.25">
      <c r="A275" s="5"/>
      <c r="D275" s="5"/>
      <c r="I275" s="5"/>
    </row>
    <row r="276" spans="1:9" x14ac:dyDescent="0.25">
      <c r="A276" s="5"/>
      <c r="D276" s="5"/>
      <c r="I276" s="5"/>
    </row>
    <row r="277" spans="1:9" x14ac:dyDescent="0.25">
      <c r="A277" s="5"/>
      <c r="D277" s="5"/>
      <c r="I277" s="5"/>
    </row>
    <row r="278" spans="1:9" x14ac:dyDescent="0.25">
      <c r="A278" s="5"/>
      <c r="D278" s="5"/>
      <c r="I278" s="5"/>
    </row>
    <row r="279" spans="1:9" x14ac:dyDescent="0.25">
      <c r="A279" s="5"/>
      <c r="D279" s="5"/>
      <c r="I279" s="5"/>
    </row>
    <row r="280" spans="1:9" x14ac:dyDescent="0.25">
      <c r="A280" s="5"/>
      <c r="D280" s="5"/>
      <c r="I280" s="5"/>
    </row>
    <row r="281" spans="1:9" x14ac:dyDescent="0.25">
      <c r="A281" s="5"/>
      <c r="D281" s="5"/>
      <c r="I281" s="5"/>
    </row>
    <row r="282" spans="1:9" x14ac:dyDescent="0.25">
      <c r="A282" s="5"/>
      <c r="D282" s="5"/>
      <c r="I282" s="5"/>
    </row>
    <row r="283" spans="1:9" x14ac:dyDescent="0.25">
      <c r="A283" s="5"/>
      <c r="D283" s="5"/>
      <c r="I283" s="5"/>
    </row>
    <row r="284" spans="1:9" x14ac:dyDescent="0.25">
      <c r="A284" s="5"/>
      <c r="D284" s="5"/>
      <c r="I284" s="5"/>
    </row>
    <row r="285" spans="1:9" x14ac:dyDescent="0.25">
      <c r="A285" s="5"/>
      <c r="D285" s="5"/>
      <c r="I285" s="5"/>
    </row>
    <row r="286" spans="1:9" x14ac:dyDescent="0.25">
      <c r="A286" s="5"/>
      <c r="D286" s="5"/>
      <c r="I286" s="5"/>
    </row>
    <row r="287" spans="1:9" x14ac:dyDescent="0.25">
      <c r="A287" s="5"/>
      <c r="D287" s="5"/>
      <c r="I287" s="5"/>
    </row>
    <row r="288" spans="1:9" x14ac:dyDescent="0.25">
      <c r="A288" s="5"/>
      <c r="D288" s="5"/>
      <c r="I288" s="5"/>
    </row>
    <row r="289" spans="1:9" x14ac:dyDescent="0.25">
      <c r="A289" s="5"/>
      <c r="D289" s="5"/>
      <c r="I289" s="5"/>
    </row>
    <row r="290" spans="1:9" x14ac:dyDescent="0.25">
      <c r="A290" s="5"/>
      <c r="D290" s="5"/>
      <c r="I290" s="5"/>
    </row>
    <row r="291" spans="1:9" x14ac:dyDescent="0.25">
      <c r="A291" s="5"/>
      <c r="D291" s="5"/>
      <c r="I291" s="5"/>
    </row>
    <row r="292" spans="1:9" x14ac:dyDescent="0.25">
      <c r="A292" s="5"/>
      <c r="D292" s="5"/>
      <c r="I292" s="5"/>
    </row>
    <row r="293" spans="1:9" x14ac:dyDescent="0.25">
      <c r="A293" s="5"/>
      <c r="D293" s="5"/>
      <c r="I293" s="5"/>
    </row>
    <row r="294" spans="1:9" x14ac:dyDescent="0.25">
      <c r="A294" s="5"/>
      <c r="D294" s="5"/>
      <c r="I294" s="5"/>
    </row>
    <row r="295" spans="1:9" x14ac:dyDescent="0.25">
      <c r="A295" s="5"/>
      <c r="D295" s="5"/>
      <c r="I295" s="5"/>
    </row>
    <row r="296" spans="1:9" x14ac:dyDescent="0.25">
      <c r="A296" s="5"/>
      <c r="D296" s="5"/>
      <c r="I296" s="5"/>
    </row>
    <row r="297" spans="1:9" x14ac:dyDescent="0.25">
      <c r="A297" s="5"/>
      <c r="D297" s="5"/>
      <c r="I297" s="5"/>
    </row>
    <row r="298" spans="1:9" x14ac:dyDescent="0.25">
      <c r="A298" s="5"/>
      <c r="D298" s="5"/>
      <c r="I298" s="5"/>
    </row>
    <row r="299" spans="1:9" x14ac:dyDescent="0.25">
      <c r="A299" s="5"/>
      <c r="D299" s="5"/>
      <c r="I299" s="5"/>
    </row>
    <row r="300" spans="1:9" x14ac:dyDescent="0.25">
      <c r="A300" s="5"/>
      <c r="D300" s="5"/>
      <c r="I300" s="5"/>
    </row>
    <row r="301" spans="1:9" x14ac:dyDescent="0.25">
      <c r="A301" s="5"/>
      <c r="D301" s="5"/>
      <c r="I301" s="5"/>
    </row>
    <row r="302" spans="1:9" x14ac:dyDescent="0.25">
      <c r="A302" s="5"/>
      <c r="D302" s="5"/>
      <c r="I302" s="5"/>
    </row>
    <row r="303" spans="1:9" x14ac:dyDescent="0.25">
      <c r="A303" s="5"/>
      <c r="D303" s="5"/>
      <c r="I303" s="5"/>
    </row>
    <row r="304" spans="1:9" x14ac:dyDescent="0.25">
      <c r="A304" s="5"/>
      <c r="D304" s="5"/>
      <c r="I304" s="5"/>
    </row>
    <row r="305" spans="1:9" x14ac:dyDescent="0.25">
      <c r="A305" s="5"/>
      <c r="D305" s="5"/>
      <c r="I305" s="5"/>
    </row>
    <row r="306" spans="1:9" x14ac:dyDescent="0.25">
      <c r="A306" s="5"/>
      <c r="D306" s="5"/>
      <c r="I306" s="5"/>
    </row>
    <row r="307" spans="1:9" x14ac:dyDescent="0.25">
      <c r="A307" s="5"/>
      <c r="D307" s="5"/>
      <c r="I307" s="5"/>
    </row>
    <row r="308" spans="1:9" x14ac:dyDescent="0.25">
      <c r="A308" s="5"/>
      <c r="D308" s="5"/>
      <c r="I308" s="5"/>
    </row>
    <row r="309" spans="1:9" x14ac:dyDescent="0.25">
      <c r="A309" s="5"/>
      <c r="D309" s="5"/>
      <c r="I309" s="5"/>
    </row>
    <row r="310" spans="1:9" x14ac:dyDescent="0.25">
      <c r="A310" s="5"/>
      <c r="D310" s="5"/>
      <c r="I310" s="5"/>
    </row>
    <row r="311" spans="1:9" x14ac:dyDescent="0.25">
      <c r="A311" s="5"/>
      <c r="D311" s="5"/>
      <c r="I311" s="5"/>
    </row>
    <row r="312" spans="1:9" x14ac:dyDescent="0.25">
      <c r="A312" s="5"/>
      <c r="D312" s="5"/>
      <c r="I312" s="5"/>
    </row>
    <row r="313" spans="1:9" x14ac:dyDescent="0.25">
      <c r="A313" s="5"/>
      <c r="D313" s="5"/>
      <c r="I313" s="5"/>
    </row>
    <row r="314" spans="1:9" x14ac:dyDescent="0.25">
      <c r="A314" s="5"/>
      <c r="D314" s="5"/>
      <c r="I314" s="5"/>
    </row>
    <row r="315" spans="1:9" x14ac:dyDescent="0.25">
      <c r="A315" s="5"/>
      <c r="D315" s="5"/>
      <c r="I315" s="5"/>
    </row>
    <row r="316" spans="1:9" x14ac:dyDescent="0.25">
      <c r="A316" s="5"/>
      <c r="D316" s="5"/>
      <c r="I316" s="5"/>
    </row>
    <row r="317" spans="1:9" x14ac:dyDescent="0.25">
      <c r="A317" s="5"/>
      <c r="D317" s="5"/>
      <c r="I317" s="5"/>
    </row>
    <row r="318" spans="1:9" x14ac:dyDescent="0.25">
      <c r="A318" s="5"/>
      <c r="D318" s="5"/>
      <c r="I318" s="5"/>
    </row>
    <row r="319" spans="1:9" x14ac:dyDescent="0.25">
      <c r="A319" s="5"/>
      <c r="D319" s="5"/>
      <c r="I319" s="5"/>
    </row>
    <row r="320" spans="1:9" x14ac:dyDescent="0.25">
      <c r="A320" s="5"/>
      <c r="D320" s="5"/>
      <c r="I320" s="5"/>
    </row>
    <row r="321" spans="1:9" x14ac:dyDescent="0.25">
      <c r="A321" s="5"/>
      <c r="D321" s="5"/>
      <c r="I321" s="5"/>
    </row>
    <row r="322" spans="1:9" x14ac:dyDescent="0.25">
      <c r="A322" s="5"/>
      <c r="D322" s="5"/>
      <c r="I322" s="5"/>
    </row>
    <row r="323" spans="1:9" x14ac:dyDescent="0.25">
      <c r="A323" s="5"/>
      <c r="D323" s="5"/>
      <c r="I323" s="5"/>
    </row>
    <row r="324" spans="1:9" x14ac:dyDescent="0.25">
      <c r="A324" s="5"/>
      <c r="D324" s="5"/>
      <c r="I324" s="5"/>
    </row>
    <row r="325" spans="1:9" x14ac:dyDescent="0.25">
      <c r="A325" s="5"/>
      <c r="D325" s="5"/>
      <c r="I325" s="5"/>
    </row>
    <row r="326" spans="1:9" x14ac:dyDescent="0.25">
      <c r="A326" s="5"/>
      <c r="D326" s="5"/>
      <c r="I326" s="5"/>
    </row>
    <row r="327" spans="1:9" x14ac:dyDescent="0.25">
      <c r="A327" s="5"/>
      <c r="D327" s="5"/>
      <c r="I327" s="5"/>
    </row>
    <row r="328" spans="1:9" x14ac:dyDescent="0.25">
      <c r="A328" s="5"/>
      <c r="D328" s="5"/>
      <c r="I328" s="5"/>
    </row>
    <row r="329" spans="1:9" x14ac:dyDescent="0.25">
      <c r="A329" s="5"/>
      <c r="D329" s="5"/>
      <c r="I329" s="5"/>
    </row>
    <row r="330" spans="1:9" x14ac:dyDescent="0.25">
      <c r="A330" s="5"/>
      <c r="D330" s="5"/>
      <c r="I330" s="5"/>
    </row>
    <row r="331" spans="1:9" x14ac:dyDescent="0.25">
      <c r="A331" s="5"/>
      <c r="D331" s="5"/>
      <c r="I331" s="5"/>
    </row>
    <row r="332" spans="1:9" x14ac:dyDescent="0.25">
      <c r="A332" s="5"/>
      <c r="D332" s="5"/>
      <c r="I332" s="5"/>
    </row>
    <row r="333" spans="1:9" x14ac:dyDescent="0.25">
      <c r="A333" s="5"/>
      <c r="D333" s="5"/>
      <c r="I333" s="5"/>
    </row>
    <row r="334" spans="1:9" x14ac:dyDescent="0.25">
      <c r="A334" s="5"/>
      <c r="D334" s="5"/>
      <c r="I334" s="5"/>
    </row>
    <row r="335" spans="1:9" x14ac:dyDescent="0.25">
      <c r="A335" s="5"/>
      <c r="D335" s="5"/>
      <c r="I335" s="5"/>
    </row>
    <row r="336" spans="1:9" x14ac:dyDescent="0.25">
      <c r="A336" s="5"/>
      <c r="D336" s="5"/>
      <c r="I336" s="5"/>
    </row>
    <row r="337" spans="1:9" x14ac:dyDescent="0.25">
      <c r="A337" s="5"/>
      <c r="D337" s="5"/>
      <c r="I337" s="5"/>
    </row>
    <row r="338" spans="1:9" x14ac:dyDescent="0.25">
      <c r="A338" s="5"/>
      <c r="D338" s="5"/>
      <c r="I338" s="5"/>
    </row>
    <row r="339" spans="1:9" x14ac:dyDescent="0.25">
      <c r="A339" s="5"/>
      <c r="D339" s="5"/>
      <c r="I339" s="5"/>
    </row>
    <row r="340" spans="1:9" x14ac:dyDescent="0.25">
      <c r="A340" s="5"/>
      <c r="D340" s="5"/>
      <c r="I340" s="5"/>
    </row>
    <row r="341" spans="1:9" x14ac:dyDescent="0.25">
      <c r="A341" s="5"/>
      <c r="D341" s="5"/>
      <c r="I341" s="5"/>
    </row>
    <row r="342" spans="1:9" x14ac:dyDescent="0.25">
      <c r="A342" s="5"/>
      <c r="D342" s="5"/>
      <c r="I342" s="5"/>
    </row>
    <row r="343" spans="1:9" x14ac:dyDescent="0.25">
      <c r="A343" s="5"/>
      <c r="D343" s="5"/>
      <c r="I343" s="5"/>
    </row>
    <row r="344" spans="1:9" x14ac:dyDescent="0.25">
      <c r="A344" s="5"/>
      <c r="D344" s="5"/>
      <c r="I344" s="5"/>
    </row>
    <row r="345" spans="1:9" x14ac:dyDescent="0.25">
      <c r="A345" s="5"/>
      <c r="D345" s="5"/>
      <c r="I345" s="5"/>
    </row>
    <row r="346" spans="1:9" x14ac:dyDescent="0.25">
      <c r="A346" s="5"/>
      <c r="D346" s="5"/>
      <c r="I346" s="5"/>
    </row>
    <row r="347" spans="1:9" x14ac:dyDescent="0.25">
      <c r="A347" s="5"/>
      <c r="D347" s="5"/>
      <c r="I347" s="5"/>
    </row>
    <row r="348" spans="1:9" x14ac:dyDescent="0.25">
      <c r="A348" s="5"/>
      <c r="D348" s="5"/>
      <c r="I348" s="5"/>
    </row>
    <row r="349" spans="1:9" x14ac:dyDescent="0.25">
      <c r="A349" s="5"/>
      <c r="D349" s="5"/>
      <c r="I349" s="5"/>
    </row>
    <row r="350" spans="1:9" x14ac:dyDescent="0.25">
      <c r="A350" s="5"/>
      <c r="D350" s="5"/>
      <c r="I350" s="5"/>
    </row>
    <row r="351" spans="1:9" x14ac:dyDescent="0.25">
      <c r="A351" s="5"/>
      <c r="D351" s="5"/>
      <c r="I351" s="5"/>
    </row>
    <row r="352" spans="1:9" x14ac:dyDescent="0.25">
      <c r="A352" s="5"/>
      <c r="D352" s="5"/>
      <c r="I352" s="5"/>
    </row>
    <row r="353" spans="1:9" x14ac:dyDescent="0.25">
      <c r="A353" s="5"/>
      <c r="D353" s="5"/>
      <c r="I353" s="5"/>
    </row>
    <row r="354" spans="1:9" x14ac:dyDescent="0.25">
      <c r="A354" s="5"/>
      <c r="D354" s="5"/>
      <c r="I354" s="5"/>
    </row>
    <row r="355" spans="1:9" x14ac:dyDescent="0.25">
      <c r="A355" s="5"/>
      <c r="D355" s="5"/>
      <c r="I355" s="5"/>
    </row>
    <row r="356" spans="1:9" x14ac:dyDescent="0.25">
      <c r="A356" s="5"/>
      <c r="D356" s="5"/>
      <c r="I356" s="5"/>
    </row>
    <row r="357" spans="1:9" x14ac:dyDescent="0.25">
      <c r="A357" s="5"/>
      <c r="D357" s="5"/>
      <c r="I357" s="5"/>
    </row>
    <row r="358" spans="1:9" x14ac:dyDescent="0.25">
      <c r="A358" s="5"/>
      <c r="D358" s="5"/>
      <c r="I358" s="5"/>
    </row>
    <row r="359" spans="1:9" x14ac:dyDescent="0.25">
      <c r="A359" s="5"/>
      <c r="D359" s="5"/>
      <c r="I359" s="5"/>
    </row>
    <row r="360" spans="1:9" x14ac:dyDescent="0.25">
      <c r="A360" s="5"/>
      <c r="D360" s="5"/>
      <c r="I360" s="5"/>
    </row>
    <row r="361" spans="1:9" x14ac:dyDescent="0.25">
      <c r="A361" s="5"/>
      <c r="D361" s="5"/>
      <c r="I361" s="5"/>
    </row>
    <row r="362" spans="1:9" x14ac:dyDescent="0.25">
      <c r="A362" s="5"/>
      <c r="D362" s="5"/>
      <c r="I362" s="5"/>
    </row>
    <row r="363" spans="1:9" x14ac:dyDescent="0.25">
      <c r="A363" s="5"/>
      <c r="D363" s="5"/>
      <c r="I363" s="5"/>
    </row>
    <row r="364" spans="1:9" x14ac:dyDescent="0.25">
      <c r="A364" s="5"/>
      <c r="D364" s="5"/>
      <c r="I364" s="5"/>
    </row>
    <row r="365" spans="1:9" x14ac:dyDescent="0.25">
      <c r="A365" s="5"/>
      <c r="D365" s="5"/>
      <c r="I365" s="5"/>
    </row>
    <row r="366" spans="1:9" x14ac:dyDescent="0.25">
      <c r="A366" s="5"/>
      <c r="D366" s="5"/>
      <c r="I366" s="5"/>
    </row>
    <row r="367" spans="1:9" x14ac:dyDescent="0.25">
      <c r="A367" s="5"/>
      <c r="D367" s="5"/>
      <c r="I367" s="5"/>
    </row>
    <row r="368" spans="1:9" x14ac:dyDescent="0.25">
      <c r="A368" s="5"/>
      <c r="D368" s="5"/>
      <c r="I368" s="5"/>
    </row>
    <row r="369" spans="1:9" x14ac:dyDescent="0.25">
      <c r="A369" s="5"/>
      <c r="D369" s="5"/>
      <c r="I369" s="5"/>
    </row>
    <row r="370" spans="1:9" x14ac:dyDescent="0.25">
      <c r="A370" s="5"/>
      <c r="D370" s="5"/>
      <c r="I370" s="5"/>
    </row>
    <row r="371" spans="1:9" x14ac:dyDescent="0.25">
      <c r="A371" s="5"/>
      <c r="D371" s="5"/>
      <c r="I371" s="5"/>
    </row>
    <row r="372" spans="1:9" x14ac:dyDescent="0.25">
      <c r="A372" s="5"/>
      <c r="D372" s="5"/>
      <c r="I372" s="5"/>
    </row>
    <row r="373" spans="1:9" x14ac:dyDescent="0.25">
      <c r="A373" s="5"/>
      <c r="D373" s="5"/>
      <c r="I373" s="5"/>
    </row>
    <row r="374" spans="1:9" x14ac:dyDescent="0.25">
      <c r="A374" s="5"/>
      <c r="D374" s="5"/>
      <c r="I374" s="5"/>
    </row>
    <row r="375" spans="1:9" x14ac:dyDescent="0.25">
      <c r="A375" s="5"/>
      <c r="D375" s="5"/>
      <c r="I375" s="5"/>
    </row>
    <row r="376" spans="1:9" x14ac:dyDescent="0.25">
      <c r="A376" s="5"/>
      <c r="D376" s="5"/>
      <c r="I376" s="5"/>
    </row>
    <row r="377" spans="1:9" x14ac:dyDescent="0.25">
      <c r="A377" s="5"/>
      <c r="D377" s="5"/>
      <c r="I377" s="5"/>
    </row>
    <row r="378" spans="1:9" x14ac:dyDescent="0.25">
      <c r="A378" s="5"/>
      <c r="D378" s="5"/>
      <c r="I378" s="5"/>
    </row>
    <row r="379" spans="1:9" x14ac:dyDescent="0.25">
      <c r="A379" s="5"/>
      <c r="D379" s="5"/>
      <c r="I379" s="5"/>
    </row>
    <row r="380" spans="1:9" x14ac:dyDescent="0.25">
      <c r="A380" s="5"/>
      <c r="D380" s="5"/>
      <c r="I380" s="5"/>
    </row>
    <row r="381" spans="1:9" x14ac:dyDescent="0.25">
      <c r="A381" s="5"/>
      <c r="D381" s="5"/>
      <c r="I381" s="5"/>
    </row>
    <row r="382" spans="1:9" x14ac:dyDescent="0.25">
      <c r="A382" s="5"/>
      <c r="D382" s="5"/>
      <c r="I382" s="5"/>
    </row>
    <row r="383" spans="1:9" x14ac:dyDescent="0.25">
      <c r="A383" s="5"/>
      <c r="D383" s="5"/>
      <c r="I383" s="5"/>
    </row>
    <row r="384" spans="1:9" x14ac:dyDescent="0.25">
      <c r="A384" s="5"/>
      <c r="D384" s="5"/>
      <c r="I384" s="5"/>
    </row>
    <row r="385" spans="1:9" x14ac:dyDescent="0.25">
      <c r="A385" s="5"/>
      <c r="D385" s="5"/>
      <c r="I385" s="5"/>
    </row>
    <row r="386" spans="1:9" x14ac:dyDescent="0.25">
      <c r="A386" s="5"/>
      <c r="D386" s="5"/>
      <c r="I386" s="5"/>
    </row>
    <row r="387" spans="1:9" x14ac:dyDescent="0.25">
      <c r="A387" s="5"/>
      <c r="D387" s="5"/>
      <c r="I387" s="5"/>
    </row>
    <row r="388" spans="1:9" x14ac:dyDescent="0.25">
      <c r="A388" s="5"/>
      <c r="D388" s="5"/>
      <c r="I388" s="5"/>
    </row>
    <row r="389" spans="1:9" x14ac:dyDescent="0.25">
      <c r="A389" s="5"/>
      <c r="D389" s="5"/>
      <c r="I389" s="5"/>
    </row>
    <row r="390" spans="1:9" x14ac:dyDescent="0.25">
      <c r="A390" s="5"/>
      <c r="D390" s="5"/>
      <c r="I390" s="5"/>
    </row>
    <row r="391" spans="1:9" x14ac:dyDescent="0.25">
      <c r="A391" s="5"/>
      <c r="D391" s="5"/>
      <c r="I391" s="5"/>
    </row>
    <row r="392" spans="1:9" x14ac:dyDescent="0.25">
      <c r="A392" s="5"/>
      <c r="D392" s="5"/>
      <c r="I392" s="5"/>
    </row>
    <row r="393" spans="1:9" x14ac:dyDescent="0.25">
      <c r="A393" s="5"/>
      <c r="D393" s="5"/>
      <c r="I393" s="5"/>
    </row>
    <row r="394" spans="1:9" x14ac:dyDescent="0.25">
      <c r="A394" s="5"/>
      <c r="D394" s="5"/>
      <c r="I394" s="5"/>
    </row>
    <row r="395" spans="1:9" x14ac:dyDescent="0.25">
      <c r="A395" s="5"/>
      <c r="D395" s="5"/>
      <c r="I395" s="5"/>
    </row>
    <row r="396" spans="1:9" x14ac:dyDescent="0.25">
      <c r="A396" s="5"/>
      <c r="D396" s="5"/>
      <c r="I396" s="5"/>
    </row>
    <row r="397" spans="1:9" x14ac:dyDescent="0.25">
      <c r="A397" s="5"/>
      <c r="D397" s="5"/>
      <c r="I397" s="5"/>
    </row>
    <row r="398" spans="1:9" x14ac:dyDescent="0.25">
      <c r="A398" s="5"/>
      <c r="D398" s="5"/>
      <c r="I398" s="5"/>
    </row>
    <row r="399" spans="1:9" x14ac:dyDescent="0.25">
      <c r="A399" s="5"/>
      <c r="D399" s="5"/>
      <c r="I399" s="5"/>
    </row>
    <row r="400" spans="1:9" x14ac:dyDescent="0.25">
      <c r="A400" s="5"/>
      <c r="D400" s="5"/>
      <c r="I400" s="5"/>
    </row>
    <row r="401" spans="1:9" x14ac:dyDescent="0.25">
      <c r="A401" s="5"/>
      <c r="D401" s="5"/>
      <c r="I401" s="5"/>
    </row>
    <row r="402" spans="1:9" x14ac:dyDescent="0.25">
      <c r="A402" s="5"/>
      <c r="D402" s="5"/>
      <c r="I402" s="5"/>
    </row>
    <row r="403" spans="1:9" x14ac:dyDescent="0.25">
      <c r="A403" s="5"/>
      <c r="D403" s="5"/>
      <c r="I403" s="5"/>
    </row>
    <row r="404" spans="1:9" x14ac:dyDescent="0.25">
      <c r="A404" s="5"/>
      <c r="D404" s="5"/>
      <c r="I404" s="5"/>
    </row>
    <row r="405" spans="1:9" x14ac:dyDescent="0.25">
      <c r="A405" s="5"/>
      <c r="D405" s="5"/>
      <c r="I405" s="5"/>
    </row>
    <row r="406" spans="1:9" x14ac:dyDescent="0.25">
      <c r="A406" s="5"/>
      <c r="D406" s="5"/>
      <c r="I406" s="5"/>
    </row>
    <row r="407" spans="1:9" x14ac:dyDescent="0.25">
      <c r="A407" s="5"/>
      <c r="D407" s="5"/>
      <c r="I407" s="5"/>
    </row>
    <row r="408" spans="1:9" x14ac:dyDescent="0.25">
      <c r="A408" s="5"/>
      <c r="D408" s="5"/>
      <c r="I408" s="5"/>
    </row>
    <row r="409" spans="1:9" x14ac:dyDescent="0.25">
      <c r="A409" s="5"/>
      <c r="D409" s="5"/>
      <c r="I409" s="5"/>
    </row>
    <row r="410" spans="1:9" x14ac:dyDescent="0.25">
      <c r="A410" s="5"/>
      <c r="D410" s="5"/>
      <c r="I410" s="5"/>
    </row>
    <row r="411" spans="1:9" x14ac:dyDescent="0.25">
      <c r="A411" s="5"/>
      <c r="D411" s="5"/>
      <c r="I411" s="5"/>
    </row>
    <row r="412" spans="1:9" x14ac:dyDescent="0.25">
      <c r="A412" s="5"/>
      <c r="D412" s="5"/>
      <c r="I412" s="5"/>
    </row>
    <row r="413" spans="1:9" x14ac:dyDescent="0.25">
      <c r="A413" s="5"/>
      <c r="D413" s="5"/>
      <c r="I413" s="5"/>
    </row>
    <row r="414" spans="1:9" x14ac:dyDescent="0.25">
      <c r="A414" s="5"/>
      <c r="D414" s="5"/>
      <c r="I414" s="5"/>
    </row>
    <row r="415" spans="1:9" x14ac:dyDescent="0.25">
      <c r="A415" s="5"/>
      <c r="D415" s="5"/>
      <c r="I415" s="5"/>
    </row>
    <row r="416" spans="1:9" x14ac:dyDescent="0.25">
      <c r="A416" s="5"/>
      <c r="D416" s="5"/>
      <c r="I416" s="5"/>
    </row>
    <row r="417" spans="1:9" x14ac:dyDescent="0.25">
      <c r="A417" s="5"/>
      <c r="D417" s="5"/>
      <c r="I417" s="5"/>
    </row>
    <row r="418" spans="1:9" x14ac:dyDescent="0.25">
      <c r="A418" s="5"/>
      <c r="D418" s="5"/>
      <c r="I418" s="5"/>
    </row>
    <row r="419" spans="1:9" x14ac:dyDescent="0.25">
      <c r="A419" s="5"/>
      <c r="D419" s="5"/>
      <c r="I419" s="5"/>
    </row>
    <row r="420" spans="1:9" x14ac:dyDescent="0.25">
      <c r="A420" s="5"/>
      <c r="D420" s="5"/>
      <c r="I420" s="5"/>
    </row>
    <row r="421" spans="1:9" x14ac:dyDescent="0.25">
      <c r="A421" s="5"/>
      <c r="D421" s="5"/>
      <c r="I421" s="5"/>
    </row>
    <row r="422" spans="1:9" x14ac:dyDescent="0.25">
      <c r="A422" s="5"/>
      <c r="D422" s="5"/>
      <c r="I422" s="5"/>
    </row>
    <row r="423" spans="1:9" x14ac:dyDescent="0.25">
      <c r="A423" s="5"/>
      <c r="D423" s="5"/>
      <c r="I423" s="5"/>
    </row>
    <row r="424" spans="1:9" x14ac:dyDescent="0.25">
      <c r="A424" s="5"/>
      <c r="D424" s="5"/>
      <c r="I424" s="5"/>
    </row>
    <row r="425" spans="1:9" x14ac:dyDescent="0.25">
      <c r="A425" s="5"/>
      <c r="D425" s="5"/>
      <c r="I425" s="5"/>
    </row>
    <row r="426" spans="1:9" x14ac:dyDescent="0.25">
      <c r="A426" s="5"/>
      <c r="D426" s="5"/>
      <c r="I426" s="5"/>
    </row>
    <row r="427" spans="1:9" x14ac:dyDescent="0.25">
      <c r="A427" s="5"/>
      <c r="D427" s="5"/>
      <c r="I427" s="5"/>
    </row>
    <row r="428" spans="1:9" x14ac:dyDescent="0.25">
      <c r="A428" s="5"/>
      <c r="D428" s="5"/>
      <c r="I428" s="5"/>
    </row>
    <row r="429" spans="1:9" x14ac:dyDescent="0.25">
      <c r="A429" s="5"/>
      <c r="D429" s="5"/>
      <c r="I429" s="5"/>
    </row>
    <row r="430" spans="1:9" x14ac:dyDescent="0.25">
      <c r="A430" s="5"/>
      <c r="D430" s="5"/>
      <c r="I430" s="5"/>
    </row>
    <row r="431" spans="1:9" x14ac:dyDescent="0.25">
      <c r="A431" s="5"/>
      <c r="D431" s="5"/>
      <c r="I431" s="5"/>
    </row>
    <row r="432" spans="1:9" x14ac:dyDescent="0.25">
      <c r="A432" s="5"/>
      <c r="D432" s="5"/>
      <c r="I432" s="5"/>
    </row>
    <row r="433" spans="1:9" x14ac:dyDescent="0.25">
      <c r="A433" s="5"/>
      <c r="D433" s="5"/>
      <c r="I433" s="5"/>
    </row>
    <row r="434" spans="1:9" x14ac:dyDescent="0.25">
      <c r="A434" s="5"/>
      <c r="D434" s="5"/>
      <c r="I434" s="5"/>
    </row>
    <row r="435" spans="1:9" x14ac:dyDescent="0.25">
      <c r="A435" s="5"/>
      <c r="D435" s="5"/>
      <c r="I435" s="5"/>
    </row>
    <row r="436" spans="1:9" x14ac:dyDescent="0.25">
      <c r="A436" s="5"/>
      <c r="D436" s="5"/>
      <c r="I436" s="5"/>
    </row>
    <row r="437" spans="1:9" x14ac:dyDescent="0.25">
      <c r="A437" s="5"/>
      <c r="D437" s="5"/>
      <c r="I437" s="5"/>
    </row>
    <row r="438" spans="1:9" x14ac:dyDescent="0.25">
      <c r="A438" s="5"/>
      <c r="D438" s="5"/>
      <c r="I438" s="5"/>
    </row>
    <row r="439" spans="1:9" x14ac:dyDescent="0.25">
      <c r="A439" s="5"/>
      <c r="D439" s="5"/>
      <c r="I439" s="5"/>
    </row>
    <row r="440" spans="1:9" x14ac:dyDescent="0.25">
      <c r="A440" s="5"/>
      <c r="D440" s="5"/>
      <c r="I440" s="5"/>
    </row>
    <row r="441" spans="1:9" x14ac:dyDescent="0.25">
      <c r="A441" s="5"/>
      <c r="D441" s="5"/>
      <c r="I441" s="5"/>
    </row>
    <row r="442" spans="1:9" x14ac:dyDescent="0.25">
      <c r="A442" s="5"/>
      <c r="D442" s="5"/>
      <c r="I442" s="5"/>
    </row>
    <row r="443" spans="1:9" x14ac:dyDescent="0.25">
      <c r="A443" s="5"/>
      <c r="D443" s="5"/>
      <c r="I443" s="5"/>
    </row>
    <row r="444" spans="1:9" x14ac:dyDescent="0.25">
      <c r="A444" s="5"/>
      <c r="D444" s="5"/>
      <c r="I444" s="5"/>
    </row>
    <row r="445" spans="1:9" x14ac:dyDescent="0.25">
      <c r="A445" s="5"/>
      <c r="D445" s="5"/>
      <c r="I445" s="5"/>
    </row>
    <row r="446" spans="1:9" x14ac:dyDescent="0.25">
      <c r="A446" s="5"/>
      <c r="D446" s="5"/>
      <c r="I446" s="5"/>
    </row>
    <row r="447" spans="1:9" x14ac:dyDescent="0.25">
      <c r="A447" s="5"/>
      <c r="D447" s="5"/>
      <c r="I447" s="5"/>
    </row>
    <row r="448" spans="1:9" x14ac:dyDescent="0.25">
      <c r="A448" s="5"/>
      <c r="D448" s="5"/>
      <c r="I448" s="5"/>
    </row>
    <row r="449" spans="1:9" x14ac:dyDescent="0.25">
      <c r="A449" s="5"/>
      <c r="D449" s="5"/>
      <c r="I449" s="5"/>
    </row>
    <row r="450" spans="1:9" x14ac:dyDescent="0.25">
      <c r="A450" s="5"/>
      <c r="D450" s="5"/>
      <c r="I450" s="5"/>
    </row>
    <row r="451" spans="1:9" x14ac:dyDescent="0.25">
      <c r="A451" s="5"/>
      <c r="D451" s="5"/>
      <c r="I451" s="5"/>
    </row>
    <row r="452" spans="1:9" x14ac:dyDescent="0.25">
      <c r="A452" s="5"/>
      <c r="D452" s="5"/>
      <c r="I452" s="5"/>
    </row>
    <row r="453" spans="1:9" x14ac:dyDescent="0.25">
      <c r="A453" s="5"/>
      <c r="D453" s="5"/>
      <c r="I453" s="5"/>
    </row>
    <row r="454" spans="1:9" x14ac:dyDescent="0.25">
      <c r="A454" s="5"/>
      <c r="D454" s="5"/>
      <c r="I454" s="5"/>
    </row>
    <row r="455" spans="1:9" x14ac:dyDescent="0.25">
      <c r="A455" s="5"/>
      <c r="D455" s="5"/>
      <c r="I455" s="5"/>
    </row>
    <row r="456" spans="1:9" x14ac:dyDescent="0.25">
      <c r="A456" s="5"/>
      <c r="D456" s="5"/>
      <c r="I456" s="5"/>
    </row>
    <row r="457" spans="1:9" x14ac:dyDescent="0.25">
      <c r="A457" s="5"/>
      <c r="D457" s="5"/>
      <c r="I457" s="5"/>
    </row>
    <row r="458" spans="1:9" x14ac:dyDescent="0.25">
      <c r="A458" s="5"/>
      <c r="D458" s="5"/>
      <c r="I458" s="5"/>
    </row>
    <row r="459" spans="1:9" x14ac:dyDescent="0.25">
      <c r="A459" s="5"/>
      <c r="D459" s="5"/>
      <c r="I459" s="5"/>
    </row>
    <row r="460" spans="1:9" x14ac:dyDescent="0.25">
      <c r="A460" s="5"/>
      <c r="D460" s="5"/>
      <c r="I460" s="5"/>
    </row>
    <row r="461" spans="1:9" x14ac:dyDescent="0.25">
      <c r="A461" s="5"/>
      <c r="D461" s="5"/>
      <c r="I461" s="5"/>
    </row>
    <row r="462" spans="1:9" x14ac:dyDescent="0.25">
      <c r="A462" s="5"/>
      <c r="D462" s="5"/>
      <c r="I462" s="5"/>
    </row>
    <row r="463" spans="1:9" x14ac:dyDescent="0.25">
      <c r="A463" s="5"/>
      <c r="D463" s="5"/>
      <c r="I463" s="5"/>
    </row>
    <row r="464" spans="1:9" x14ac:dyDescent="0.25">
      <c r="A464" s="5"/>
      <c r="D464" s="5"/>
      <c r="I464" s="5"/>
    </row>
    <row r="465" spans="1:9" x14ac:dyDescent="0.25">
      <c r="A465" s="5"/>
      <c r="D465" s="5"/>
      <c r="I465" s="5"/>
    </row>
    <row r="466" spans="1:9" x14ac:dyDescent="0.25">
      <c r="A466" s="5"/>
      <c r="D466" s="5"/>
      <c r="I466" s="5"/>
    </row>
    <row r="467" spans="1:9" x14ac:dyDescent="0.25">
      <c r="A467" s="5"/>
      <c r="D467" s="5"/>
      <c r="I467" s="5"/>
    </row>
    <row r="468" spans="1:9" x14ac:dyDescent="0.25">
      <c r="A468" s="5"/>
      <c r="D468" s="5"/>
      <c r="I468" s="5"/>
    </row>
    <row r="469" spans="1:9" x14ac:dyDescent="0.25">
      <c r="A469" s="5"/>
      <c r="D469" s="5"/>
      <c r="I469" s="5"/>
    </row>
    <row r="470" spans="1:9" x14ac:dyDescent="0.25">
      <c r="A470" s="5"/>
      <c r="D470" s="5"/>
      <c r="I470" s="5"/>
    </row>
    <row r="471" spans="1:9" x14ac:dyDescent="0.25">
      <c r="A471" s="5"/>
      <c r="D471" s="5"/>
      <c r="I471" s="5"/>
    </row>
    <row r="472" spans="1:9" x14ac:dyDescent="0.25">
      <c r="A472" s="5"/>
      <c r="D472" s="5"/>
      <c r="I472" s="5"/>
    </row>
    <row r="473" spans="1:9" x14ac:dyDescent="0.25">
      <c r="A473" s="5"/>
      <c r="D473" s="5"/>
      <c r="I473" s="5"/>
    </row>
    <row r="474" spans="1:9" x14ac:dyDescent="0.25">
      <c r="A474" s="5"/>
      <c r="D474" s="5"/>
      <c r="I474" s="5"/>
    </row>
    <row r="475" spans="1:9" x14ac:dyDescent="0.25">
      <c r="A475" s="5"/>
      <c r="D475" s="5"/>
      <c r="I475" s="5"/>
    </row>
    <row r="476" spans="1:9" x14ac:dyDescent="0.25">
      <c r="A476" s="5"/>
      <c r="D476" s="5"/>
      <c r="I476" s="5"/>
    </row>
    <row r="477" spans="1:9" x14ac:dyDescent="0.25">
      <c r="A477" s="5"/>
      <c r="D477" s="5"/>
      <c r="I477" s="5"/>
    </row>
    <row r="478" spans="1:9" x14ac:dyDescent="0.25">
      <c r="A478" s="5"/>
      <c r="D478" s="5"/>
      <c r="I478" s="5"/>
    </row>
    <row r="479" spans="1:9" x14ac:dyDescent="0.25">
      <c r="A479" s="5"/>
      <c r="D479" s="5"/>
      <c r="I479" s="5"/>
    </row>
    <row r="480" spans="1:9" x14ac:dyDescent="0.25">
      <c r="A480" s="5"/>
      <c r="D480" s="5"/>
      <c r="I480" s="5"/>
    </row>
    <row r="481" spans="1:9" x14ac:dyDescent="0.25">
      <c r="A481" s="5"/>
      <c r="D481" s="5"/>
      <c r="I481" s="5"/>
    </row>
    <row r="482" spans="1:9" x14ac:dyDescent="0.25">
      <c r="A482" s="5"/>
      <c r="D482" s="5"/>
      <c r="I482" s="5"/>
    </row>
    <row r="483" spans="1:9" x14ac:dyDescent="0.25">
      <c r="A483" s="5"/>
      <c r="D483" s="5"/>
      <c r="I483" s="5"/>
    </row>
    <row r="484" spans="1:9" x14ac:dyDescent="0.25">
      <c r="A484" s="5"/>
      <c r="D484" s="5"/>
      <c r="I484" s="5"/>
    </row>
    <row r="485" spans="1:9" x14ac:dyDescent="0.25">
      <c r="A485" s="5"/>
      <c r="D485" s="5"/>
      <c r="I485" s="5"/>
    </row>
    <row r="486" spans="1:9" x14ac:dyDescent="0.25">
      <c r="A486" s="5"/>
      <c r="D486" s="5"/>
      <c r="I486" s="5"/>
    </row>
    <row r="487" spans="1:9" x14ac:dyDescent="0.25">
      <c r="A487" s="5"/>
      <c r="D487" s="5"/>
      <c r="I487" s="5"/>
    </row>
    <row r="488" spans="1:9" x14ac:dyDescent="0.25">
      <c r="A488" s="5"/>
      <c r="D488" s="5"/>
      <c r="I488" s="5"/>
    </row>
    <row r="489" spans="1:9" x14ac:dyDescent="0.25">
      <c r="A489" s="5"/>
      <c r="D489" s="5"/>
      <c r="I489" s="5"/>
    </row>
    <row r="490" spans="1:9" x14ac:dyDescent="0.25">
      <c r="A490" s="5"/>
      <c r="D490" s="5"/>
      <c r="I490" s="5"/>
    </row>
    <row r="491" spans="1:9" x14ac:dyDescent="0.25">
      <c r="A491" s="5"/>
      <c r="D491" s="5"/>
      <c r="I491" s="5"/>
    </row>
    <row r="492" spans="1:9" x14ac:dyDescent="0.25">
      <c r="A492" s="5"/>
      <c r="D492" s="5"/>
      <c r="I492" s="5"/>
    </row>
    <row r="493" spans="1:9" x14ac:dyDescent="0.25">
      <c r="A493" s="5"/>
      <c r="D493" s="5"/>
      <c r="I493" s="5"/>
    </row>
    <row r="494" spans="1:9" x14ac:dyDescent="0.25">
      <c r="A494" s="5"/>
      <c r="D494" s="5"/>
      <c r="I494" s="5"/>
    </row>
    <row r="495" spans="1:9" x14ac:dyDescent="0.25">
      <c r="A495" s="5"/>
      <c r="D495" s="5"/>
      <c r="I495" s="5"/>
    </row>
    <row r="496" spans="1:9" x14ac:dyDescent="0.25">
      <c r="A496" s="5"/>
      <c r="D496" s="5"/>
      <c r="I496" s="5"/>
    </row>
    <row r="497" spans="1:9" x14ac:dyDescent="0.25">
      <c r="A497" s="5"/>
      <c r="D497" s="5"/>
      <c r="I497" s="5"/>
    </row>
    <row r="498" spans="1:9" x14ac:dyDescent="0.25">
      <c r="A498" s="5"/>
      <c r="D498" s="5"/>
      <c r="I498" s="5"/>
    </row>
    <row r="499" spans="1:9" x14ac:dyDescent="0.25">
      <c r="A499" s="5"/>
      <c r="D499" s="5"/>
      <c r="I499" s="5"/>
    </row>
    <row r="500" spans="1:9" x14ac:dyDescent="0.25">
      <c r="A500" s="5"/>
      <c r="D500" s="5"/>
      <c r="I500" s="5"/>
    </row>
    <row r="501" spans="1:9" x14ac:dyDescent="0.25">
      <c r="A501" s="5"/>
      <c r="D501" s="5"/>
      <c r="I501" s="5"/>
    </row>
    <row r="502" spans="1:9" x14ac:dyDescent="0.25">
      <c r="A502" s="5"/>
      <c r="D502" s="5"/>
      <c r="I502" s="5"/>
    </row>
    <row r="503" spans="1:9" x14ac:dyDescent="0.25">
      <c r="A503" s="5"/>
      <c r="D503" s="5"/>
      <c r="I503" s="5"/>
    </row>
    <row r="504" spans="1:9" x14ac:dyDescent="0.25">
      <c r="A504" s="5"/>
      <c r="D504" s="5"/>
      <c r="I504" s="5"/>
    </row>
    <row r="505" spans="1:9" x14ac:dyDescent="0.25">
      <c r="A505" s="5"/>
      <c r="D505" s="5"/>
      <c r="I505" s="5"/>
    </row>
    <row r="506" spans="1:9" x14ac:dyDescent="0.25">
      <c r="A506" s="5"/>
      <c r="D506" s="5"/>
      <c r="I506" s="5"/>
    </row>
    <row r="507" spans="1:9" x14ac:dyDescent="0.25">
      <c r="A507" s="5"/>
      <c r="D507" s="5"/>
      <c r="I507" s="5"/>
    </row>
    <row r="508" spans="1:9" x14ac:dyDescent="0.25">
      <c r="A508" s="5"/>
      <c r="D508" s="5"/>
      <c r="I508" s="5"/>
    </row>
    <row r="509" spans="1:9" x14ac:dyDescent="0.25">
      <c r="A509" s="5"/>
      <c r="D509" s="5"/>
      <c r="I509" s="5"/>
    </row>
    <row r="510" spans="1:9" x14ac:dyDescent="0.25">
      <c r="A510" s="5"/>
      <c r="D510" s="5"/>
      <c r="I510" s="5"/>
    </row>
    <row r="511" spans="1:9" x14ac:dyDescent="0.25">
      <c r="A511" s="5"/>
      <c r="D511" s="5"/>
      <c r="I511" s="5"/>
    </row>
    <row r="512" spans="1:9" x14ac:dyDescent="0.25">
      <c r="A512" s="5"/>
      <c r="D512" s="5"/>
      <c r="I512" s="5"/>
    </row>
    <row r="513" spans="1:9" x14ac:dyDescent="0.25">
      <c r="A513" s="5"/>
      <c r="D513" s="5"/>
      <c r="I513" s="5"/>
    </row>
    <row r="514" spans="1:9" x14ac:dyDescent="0.25">
      <c r="A514" s="5"/>
      <c r="D514" s="5"/>
      <c r="I514" s="5"/>
    </row>
    <row r="515" spans="1:9" x14ac:dyDescent="0.25">
      <c r="A515" s="5"/>
      <c r="D515" s="5"/>
      <c r="I515" s="5"/>
    </row>
    <row r="516" spans="1:9" x14ac:dyDescent="0.25">
      <c r="A516" s="5"/>
      <c r="D516" s="5"/>
      <c r="I516" s="5"/>
    </row>
    <row r="517" spans="1:9" x14ac:dyDescent="0.25">
      <c r="A517" s="5"/>
      <c r="D517" s="5"/>
      <c r="I517" s="5"/>
    </row>
    <row r="518" spans="1:9" x14ac:dyDescent="0.25">
      <c r="A518" s="5"/>
      <c r="D518" s="5"/>
      <c r="I518" s="5"/>
    </row>
    <row r="519" spans="1:9" x14ac:dyDescent="0.25">
      <c r="A519" s="5"/>
      <c r="D519" s="5"/>
      <c r="I519" s="5"/>
    </row>
    <row r="520" spans="1:9" x14ac:dyDescent="0.25">
      <c r="A520" s="5"/>
      <c r="D520" s="5"/>
      <c r="I520" s="5"/>
    </row>
    <row r="521" spans="1:9" x14ac:dyDescent="0.25">
      <c r="A521" s="5"/>
      <c r="D521" s="5"/>
      <c r="I521" s="5"/>
    </row>
    <row r="522" spans="1:9" x14ac:dyDescent="0.25">
      <c r="A522" s="5"/>
      <c r="D522" s="5"/>
      <c r="I522" s="5"/>
    </row>
    <row r="523" spans="1:9" x14ac:dyDescent="0.25">
      <c r="A523" s="5"/>
      <c r="D523" s="5"/>
      <c r="I523" s="5"/>
    </row>
    <row r="524" spans="1:9" x14ac:dyDescent="0.25">
      <c r="A524" s="5"/>
      <c r="D524" s="5"/>
      <c r="I524" s="5"/>
    </row>
    <row r="525" spans="1:9" x14ac:dyDescent="0.25">
      <c r="A525" s="5"/>
      <c r="D525" s="5"/>
      <c r="I525" s="5"/>
    </row>
    <row r="526" spans="1:9" x14ac:dyDescent="0.25">
      <c r="A526" s="5"/>
      <c r="D526" s="5"/>
      <c r="I526" s="5"/>
    </row>
    <row r="527" spans="1:9" x14ac:dyDescent="0.25">
      <c r="A527" s="5"/>
      <c r="D527" s="5"/>
      <c r="I527" s="5"/>
    </row>
    <row r="528" spans="1:9" x14ac:dyDescent="0.25">
      <c r="A528" s="5"/>
      <c r="D528" s="5"/>
      <c r="I528" s="5"/>
    </row>
    <row r="529" spans="1:9" x14ac:dyDescent="0.25">
      <c r="A529" s="5"/>
      <c r="D529" s="5"/>
      <c r="I529" s="5"/>
    </row>
    <row r="530" spans="1:9" x14ac:dyDescent="0.25">
      <c r="A530" s="5"/>
      <c r="D530" s="5"/>
      <c r="I530" s="5"/>
    </row>
    <row r="531" spans="1:9" x14ac:dyDescent="0.25">
      <c r="A531" s="5"/>
      <c r="D531" s="5"/>
      <c r="I531" s="5"/>
    </row>
    <row r="532" spans="1:9" x14ac:dyDescent="0.25">
      <c r="A532" s="5"/>
      <c r="D532" s="5"/>
      <c r="I532" s="5"/>
    </row>
    <row r="533" spans="1:9" x14ac:dyDescent="0.25">
      <c r="A533" s="5"/>
      <c r="D533" s="5"/>
      <c r="I533" s="5"/>
    </row>
    <row r="534" spans="1:9" x14ac:dyDescent="0.25">
      <c r="A534" s="5"/>
      <c r="D534" s="5"/>
      <c r="I534" s="5"/>
    </row>
    <row r="535" spans="1:9" x14ac:dyDescent="0.25">
      <c r="A535" s="5"/>
      <c r="D535" s="5"/>
      <c r="I535" s="5"/>
    </row>
    <row r="536" spans="1:9" x14ac:dyDescent="0.25">
      <c r="A536" s="5"/>
      <c r="D536" s="5"/>
      <c r="I536" s="5"/>
    </row>
    <row r="537" spans="1:9" x14ac:dyDescent="0.25">
      <c r="A537" s="5"/>
      <c r="D537" s="5"/>
      <c r="I537" s="5"/>
    </row>
    <row r="538" spans="1:9" x14ac:dyDescent="0.25">
      <c r="A538" s="5"/>
      <c r="D538" s="5"/>
      <c r="I538" s="5"/>
    </row>
    <row r="539" spans="1:9" x14ac:dyDescent="0.25">
      <c r="A539" s="5"/>
      <c r="D539" s="5"/>
      <c r="I539" s="5"/>
    </row>
    <row r="540" spans="1:9" x14ac:dyDescent="0.25">
      <c r="A540" s="5"/>
      <c r="D540" s="5"/>
      <c r="I540" s="5"/>
    </row>
    <row r="541" spans="1:9" x14ac:dyDescent="0.25">
      <c r="A541" s="5"/>
      <c r="D541" s="5"/>
      <c r="I541" s="5"/>
    </row>
    <row r="542" spans="1:9" x14ac:dyDescent="0.25">
      <c r="A542" s="5"/>
      <c r="D542" s="5"/>
      <c r="I542" s="5"/>
    </row>
    <row r="543" spans="1:9" x14ac:dyDescent="0.25">
      <c r="A543" s="5"/>
      <c r="D543" s="5"/>
      <c r="I543" s="5"/>
    </row>
    <row r="544" spans="1:9" x14ac:dyDescent="0.25">
      <c r="A544" s="5"/>
      <c r="D544" s="5"/>
      <c r="I544" s="5"/>
    </row>
    <row r="545" spans="1:9" x14ac:dyDescent="0.25">
      <c r="A545" s="5"/>
      <c r="D545" s="5"/>
      <c r="I545" s="5"/>
    </row>
    <row r="546" spans="1:9" x14ac:dyDescent="0.25">
      <c r="A546" s="5"/>
      <c r="D546" s="5"/>
      <c r="I546" s="5"/>
    </row>
    <row r="547" spans="1:9" x14ac:dyDescent="0.25">
      <c r="A547" s="5"/>
      <c r="D547" s="5"/>
      <c r="I547" s="5"/>
    </row>
    <row r="548" spans="1:9" x14ac:dyDescent="0.25">
      <c r="A548" s="5"/>
      <c r="D548" s="5"/>
      <c r="I548" s="5"/>
    </row>
    <row r="549" spans="1:9" x14ac:dyDescent="0.25">
      <c r="A549" s="5"/>
      <c r="D549" s="5"/>
      <c r="I549" s="5"/>
    </row>
    <row r="550" spans="1:9" x14ac:dyDescent="0.25">
      <c r="A550" s="5"/>
      <c r="D550" s="5"/>
      <c r="I550" s="5"/>
    </row>
    <row r="551" spans="1:9" x14ac:dyDescent="0.25">
      <c r="A551" s="5"/>
      <c r="D551" s="5"/>
      <c r="I551" s="5"/>
    </row>
    <row r="552" spans="1:9" x14ac:dyDescent="0.25">
      <c r="A552" s="5"/>
      <c r="D552" s="5"/>
      <c r="I552" s="5"/>
    </row>
    <row r="553" spans="1:9" x14ac:dyDescent="0.25">
      <c r="A553" s="5"/>
      <c r="D553" s="5"/>
      <c r="I553" s="5"/>
    </row>
    <row r="554" spans="1:9" x14ac:dyDescent="0.25">
      <c r="A554" s="5"/>
      <c r="D554" s="5"/>
      <c r="I554" s="5"/>
    </row>
    <row r="555" spans="1:9" x14ac:dyDescent="0.25">
      <c r="A555" s="5"/>
      <c r="D555" s="5"/>
      <c r="I555" s="5"/>
    </row>
    <row r="556" spans="1:9" x14ac:dyDescent="0.25">
      <c r="A556" s="5"/>
      <c r="D556" s="5"/>
      <c r="I556" s="5"/>
    </row>
    <row r="557" spans="1:9" x14ac:dyDescent="0.25">
      <c r="A557" s="5"/>
      <c r="D557" s="5"/>
      <c r="I557" s="5"/>
    </row>
    <row r="558" spans="1:9" x14ac:dyDescent="0.25">
      <c r="A558" s="5"/>
      <c r="D558" s="5"/>
      <c r="I558" s="5"/>
    </row>
    <row r="559" spans="1:9" x14ac:dyDescent="0.25">
      <c r="A559" s="5"/>
      <c r="D559" s="5"/>
      <c r="I559" s="5"/>
    </row>
    <row r="560" spans="1:9" x14ac:dyDescent="0.25">
      <c r="A560" s="5"/>
      <c r="D560" s="5"/>
      <c r="I560" s="5"/>
    </row>
    <row r="561" spans="1:9" x14ac:dyDescent="0.25">
      <c r="A561" s="5"/>
      <c r="D561" s="5"/>
      <c r="I561" s="5"/>
    </row>
    <row r="562" spans="1:9" x14ac:dyDescent="0.25">
      <c r="A562" s="5"/>
      <c r="D562" s="5"/>
      <c r="I562" s="5"/>
    </row>
    <row r="563" spans="1:9" x14ac:dyDescent="0.25">
      <c r="A563" s="5"/>
      <c r="D563" s="5"/>
      <c r="I563" s="5"/>
    </row>
    <row r="564" spans="1:9" x14ac:dyDescent="0.25">
      <c r="A564" s="5"/>
      <c r="D564" s="5"/>
      <c r="I564" s="5"/>
    </row>
    <row r="565" spans="1:9" x14ac:dyDescent="0.25">
      <c r="A565" s="5"/>
      <c r="D565" s="5"/>
      <c r="I565" s="5"/>
    </row>
    <row r="566" spans="1:9" x14ac:dyDescent="0.25">
      <c r="A566" s="5"/>
      <c r="D566" s="5"/>
      <c r="I566" s="5"/>
    </row>
    <row r="567" spans="1:9" x14ac:dyDescent="0.25">
      <c r="A567" s="5"/>
      <c r="D567" s="5"/>
      <c r="I567" s="5"/>
    </row>
    <row r="568" spans="1:9" x14ac:dyDescent="0.25">
      <c r="A568" s="5"/>
      <c r="D568" s="5"/>
      <c r="I568" s="5"/>
    </row>
    <row r="569" spans="1:9" x14ac:dyDescent="0.25">
      <c r="A569" s="5"/>
      <c r="D569" s="5"/>
      <c r="I569" s="5"/>
    </row>
    <row r="570" spans="1:9" x14ac:dyDescent="0.25">
      <c r="A570" s="5"/>
      <c r="D570" s="5"/>
      <c r="I570" s="5"/>
    </row>
    <row r="571" spans="1:9" x14ac:dyDescent="0.25">
      <c r="A571" s="5"/>
      <c r="D571" s="5"/>
      <c r="I571" s="5"/>
    </row>
    <row r="572" spans="1:9" x14ac:dyDescent="0.25">
      <c r="A572" s="5"/>
      <c r="D572" s="5"/>
      <c r="I572" s="5"/>
    </row>
    <row r="573" spans="1:9" x14ac:dyDescent="0.25">
      <c r="A573" s="5"/>
      <c r="D573" s="5"/>
      <c r="I573" s="5"/>
    </row>
    <row r="574" spans="1:9" x14ac:dyDescent="0.25">
      <c r="A574" s="5"/>
      <c r="D574" s="5"/>
      <c r="I574" s="5"/>
    </row>
    <row r="575" spans="1:9" x14ac:dyDescent="0.25">
      <c r="A575" s="5"/>
      <c r="D575" s="5"/>
      <c r="I575" s="5"/>
    </row>
    <row r="576" spans="1:9" x14ac:dyDescent="0.25">
      <c r="A576" s="5"/>
      <c r="D576" s="5"/>
      <c r="I576" s="5"/>
    </row>
    <row r="577" spans="1:9" x14ac:dyDescent="0.25">
      <c r="A577" s="5"/>
      <c r="D577" s="5"/>
      <c r="I577" s="5"/>
    </row>
    <row r="578" spans="1:9" x14ac:dyDescent="0.25">
      <c r="A578" s="5"/>
      <c r="D578" s="5"/>
      <c r="I578" s="5"/>
    </row>
    <row r="579" spans="1:9" x14ac:dyDescent="0.25">
      <c r="A579" s="5"/>
      <c r="D579" s="5"/>
      <c r="I579" s="5"/>
    </row>
    <row r="580" spans="1:9" x14ac:dyDescent="0.25">
      <c r="A580" s="5"/>
      <c r="D580" s="5"/>
      <c r="I580" s="5"/>
    </row>
    <row r="581" spans="1:9" x14ac:dyDescent="0.25">
      <c r="A581" s="5"/>
      <c r="D581" s="5"/>
      <c r="I581" s="5"/>
    </row>
    <row r="582" spans="1:9" x14ac:dyDescent="0.25">
      <c r="A582" s="5"/>
      <c r="D582" s="5"/>
      <c r="I582" s="5"/>
    </row>
    <row r="583" spans="1:9" x14ac:dyDescent="0.25">
      <c r="A583" s="5"/>
      <c r="D583" s="5"/>
      <c r="I583" s="5"/>
    </row>
    <row r="584" spans="1:9" x14ac:dyDescent="0.25">
      <c r="A584" s="5"/>
      <c r="D584" s="5"/>
      <c r="I584" s="5"/>
    </row>
    <row r="585" spans="1:9" x14ac:dyDescent="0.25">
      <c r="A585" s="5"/>
      <c r="D585" s="5"/>
      <c r="I585" s="5"/>
    </row>
    <row r="586" spans="1:9" x14ac:dyDescent="0.25">
      <c r="A586" s="5"/>
      <c r="D586" s="5"/>
      <c r="I586" s="5"/>
    </row>
    <row r="587" spans="1:9" x14ac:dyDescent="0.25">
      <c r="A587" s="5"/>
      <c r="D587" s="5"/>
      <c r="I587" s="5"/>
    </row>
    <row r="588" spans="1:9" x14ac:dyDescent="0.25">
      <c r="A588" s="5"/>
      <c r="D588" s="5"/>
      <c r="I588" s="5"/>
    </row>
    <row r="589" spans="1:9" x14ac:dyDescent="0.25">
      <c r="A589" s="5"/>
      <c r="D589" s="5"/>
      <c r="I589" s="5"/>
    </row>
    <row r="590" spans="1:9" x14ac:dyDescent="0.25">
      <c r="A590" s="5"/>
      <c r="D590" s="5"/>
      <c r="I590" s="5"/>
    </row>
    <row r="591" spans="1:9" x14ac:dyDescent="0.25">
      <c r="A591" s="5"/>
      <c r="D591" s="5"/>
      <c r="I591" s="5"/>
    </row>
    <row r="592" spans="1:9" x14ac:dyDescent="0.25">
      <c r="A592" s="5"/>
      <c r="D592" s="5"/>
      <c r="I592" s="5"/>
    </row>
    <row r="593" spans="1:9" x14ac:dyDescent="0.25">
      <c r="A593" s="5"/>
      <c r="D593" s="5"/>
      <c r="I593" s="5"/>
    </row>
    <row r="594" spans="1:9" x14ac:dyDescent="0.25">
      <c r="A594" s="5"/>
      <c r="D594" s="5"/>
      <c r="I594" s="5"/>
    </row>
    <row r="595" spans="1:9" x14ac:dyDescent="0.25">
      <c r="A595" s="5"/>
      <c r="D595" s="5"/>
      <c r="I595" s="5"/>
    </row>
    <row r="596" spans="1:9" x14ac:dyDescent="0.25">
      <c r="A596" s="5"/>
      <c r="D596" s="5"/>
      <c r="I596" s="5"/>
    </row>
    <row r="597" spans="1:9" x14ac:dyDescent="0.25">
      <c r="A597" s="5"/>
      <c r="D597" s="5"/>
      <c r="I597" s="5"/>
    </row>
    <row r="598" spans="1:9" x14ac:dyDescent="0.25">
      <c r="A598" s="5"/>
      <c r="D598" s="5"/>
      <c r="I598" s="5"/>
    </row>
    <row r="599" spans="1:9" x14ac:dyDescent="0.25">
      <c r="A599" s="5"/>
      <c r="D599" s="5"/>
      <c r="I599" s="5"/>
    </row>
    <row r="600" spans="1:9" x14ac:dyDescent="0.25">
      <c r="A600" s="5"/>
      <c r="D600" s="5"/>
      <c r="I600" s="5"/>
    </row>
    <row r="601" spans="1:9" x14ac:dyDescent="0.25">
      <c r="A601" s="5"/>
      <c r="D601" s="5"/>
      <c r="I601" s="5"/>
    </row>
    <row r="602" spans="1:9" x14ac:dyDescent="0.25">
      <c r="A602" s="5"/>
      <c r="D602" s="5"/>
      <c r="I602" s="5"/>
    </row>
    <row r="603" spans="1:9" x14ac:dyDescent="0.25">
      <c r="A603" s="5"/>
      <c r="D603" s="5"/>
      <c r="I603" s="5"/>
    </row>
    <row r="604" spans="1:9" x14ac:dyDescent="0.25">
      <c r="A604" s="5"/>
      <c r="D604" s="5"/>
      <c r="I604" s="5"/>
    </row>
    <row r="605" spans="1:9" x14ac:dyDescent="0.25">
      <c r="A605" s="5"/>
      <c r="D605" s="5"/>
      <c r="I605" s="5"/>
    </row>
    <row r="606" spans="1:9" x14ac:dyDescent="0.25">
      <c r="A606" s="5"/>
      <c r="D606" s="5"/>
      <c r="I606" s="5"/>
    </row>
    <row r="607" spans="1:9" x14ac:dyDescent="0.25">
      <c r="A607" s="5"/>
      <c r="D607" s="5"/>
      <c r="I607" s="5"/>
    </row>
    <row r="608" spans="1:9" x14ac:dyDescent="0.25">
      <c r="A608" s="5"/>
      <c r="D608" s="5"/>
      <c r="I608" s="5"/>
    </row>
    <row r="609" spans="1:9" x14ac:dyDescent="0.25">
      <c r="A609" s="5"/>
      <c r="D609" s="5"/>
      <c r="I609" s="5"/>
    </row>
    <row r="610" spans="1:9" x14ac:dyDescent="0.25">
      <c r="A610" s="5"/>
      <c r="D610" s="5"/>
      <c r="I610" s="5"/>
    </row>
    <row r="611" spans="1:9" x14ac:dyDescent="0.25">
      <c r="A611" s="5"/>
      <c r="D611" s="5"/>
      <c r="I611" s="5"/>
    </row>
    <row r="612" spans="1:9" x14ac:dyDescent="0.25">
      <c r="A612" s="5"/>
      <c r="D612" s="5"/>
      <c r="I612" s="5"/>
    </row>
    <row r="613" spans="1:9" x14ac:dyDescent="0.25">
      <c r="A613" s="5"/>
      <c r="D613" s="5"/>
      <c r="I613" s="5"/>
    </row>
    <row r="614" spans="1:9" x14ac:dyDescent="0.25">
      <c r="A614" s="5"/>
      <c r="D614" s="5"/>
      <c r="I614" s="5"/>
    </row>
    <row r="615" spans="1:9" x14ac:dyDescent="0.25">
      <c r="A615" s="5"/>
      <c r="D615" s="5"/>
      <c r="I615" s="5"/>
    </row>
    <row r="616" spans="1:9" x14ac:dyDescent="0.25">
      <c r="A616" s="5"/>
      <c r="D616" s="5"/>
      <c r="I616" s="5"/>
    </row>
    <row r="617" spans="1:9" x14ac:dyDescent="0.25">
      <c r="A617" s="5"/>
      <c r="D617" s="5"/>
      <c r="I617" s="5"/>
    </row>
    <row r="618" spans="1:9" x14ac:dyDescent="0.25">
      <c r="A618" s="5"/>
      <c r="D618" s="5"/>
      <c r="I618" s="5"/>
    </row>
    <row r="619" spans="1:9" x14ac:dyDescent="0.25">
      <c r="A619" s="5"/>
      <c r="D619" s="5"/>
      <c r="I619" s="5"/>
    </row>
    <row r="620" spans="1:9" x14ac:dyDescent="0.25">
      <c r="A620" s="5"/>
      <c r="D620" s="5"/>
      <c r="I620" s="5"/>
    </row>
    <row r="621" spans="1:9" x14ac:dyDescent="0.25">
      <c r="A621" s="5"/>
      <c r="D621" s="5"/>
      <c r="I621" s="5"/>
    </row>
    <row r="622" spans="1:9" x14ac:dyDescent="0.25">
      <c r="A622" s="5"/>
      <c r="D622" s="5"/>
      <c r="I622" s="5"/>
    </row>
    <row r="623" spans="1:9" x14ac:dyDescent="0.25">
      <c r="A623" s="5"/>
      <c r="D623" s="5"/>
      <c r="I623" s="5"/>
    </row>
    <row r="624" spans="1:9" x14ac:dyDescent="0.25">
      <c r="A624" s="5"/>
      <c r="D624" s="5"/>
      <c r="I624" s="5"/>
    </row>
    <row r="625" spans="1:9" x14ac:dyDescent="0.25">
      <c r="A625" s="5"/>
      <c r="D625" s="5"/>
      <c r="I625" s="5"/>
    </row>
    <row r="626" spans="1:9" x14ac:dyDescent="0.25">
      <c r="A626" s="5"/>
      <c r="D626" s="5"/>
      <c r="I626" s="5"/>
    </row>
    <row r="627" spans="1:9" x14ac:dyDescent="0.25">
      <c r="A627" s="5"/>
      <c r="D627" s="5"/>
      <c r="I627" s="5"/>
    </row>
    <row r="628" spans="1:9" x14ac:dyDescent="0.25">
      <c r="A628" s="5"/>
      <c r="D628" s="5"/>
      <c r="I628" s="5"/>
    </row>
    <row r="629" spans="1:9" x14ac:dyDescent="0.25">
      <c r="A629" s="5"/>
      <c r="D629" s="5"/>
      <c r="I629" s="5"/>
    </row>
    <row r="630" spans="1:9" x14ac:dyDescent="0.25">
      <c r="A630" s="5"/>
      <c r="D630" s="5"/>
      <c r="I630" s="5"/>
    </row>
    <row r="631" spans="1:9" x14ac:dyDescent="0.25">
      <c r="A631" s="5"/>
      <c r="D631" s="5"/>
      <c r="I631" s="5"/>
    </row>
    <row r="632" spans="1:9" x14ac:dyDescent="0.25">
      <c r="A632" s="5"/>
      <c r="D632" s="5"/>
      <c r="I632" s="5"/>
    </row>
    <row r="633" spans="1:9" x14ac:dyDescent="0.25">
      <c r="A633" s="5"/>
      <c r="D633" s="5"/>
      <c r="I633" s="5"/>
    </row>
    <row r="634" spans="1:9" x14ac:dyDescent="0.25">
      <c r="A634" s="5"/>
      <c r="D634" s="5"/>
      <c r="I634" s="5"/>
    </row>
    <row r="635" spans="1:9" x14ac:dyDescent="0.25">
      <c r="A635" s="5"/>
      <c r="D635" s="5"/>
      <c r="I635" s="5"/>
    </row>
    <row r="636" spans="1:9" x14ac:dyDescent="0.25">
      <c r="A636" s="5"/>
      <c r="D636" s="5"/>
      <c r="I636" s="5"/>
    </row>
    <row r="637" spans="1:9" x14ac:dyDescent="0.25">
      <c r="A637" s="5"/>
      <c r="D637" s="5"/>
      <c r="I637" s="5"/>
    </row>
    <row r="638" spans="1:9" x14ac:dyDescent="0.25">
      <c r="A638" s="5"/>
      <c r="D638" s="5"/>
      <c r="I638" s="5"/>
    </row>
    <row r="639" spans="1:9" x14ac:dyDescent="0.25">
      <c r="A639" s="5"/>
      <c r="D639" s="5"/>
      <c r="I639" s="5"/>
    </row>
    <row r="640" spans="1:9" x14ac:dyDescent="0.25">
      <c r="A640" s="5"/>
      <c r="D640" s="5"/>
      <c r="I640" s="5"/>
    </row>
    <row r="641" spans="1:9" x14ac:dyDescent="0.25">
      <c r="A641" s="5"/>
      <c r="D641" s="5"/>
      <c r="I641" s="5"/>
    </row>
    <row r="642" spans="1:9" x14ac:dyDescent="0.25">
      <c r="A642" s="5"/>
      <c r="D642" s="5"/>
      <c r="I642" s="5"/>
    </row>
    <row r="643" spans="1:9" x14ac:dyDescent="0.25">
      <c r="A643" s="5"/>
      <c r="D643" s="5"/>
      <c r="I643" s="5"/>
    </row>
    <row r="644" spans="1:9" x14ac:dyDescent="0.25">
      <c r="A644" s="5"/>
      <c r="D644" s="5"/>
      <c r="I644" s="5"/>
    </row>
    <row r="645" spans="1:9" x14ac:dyDescent="0.25">
      <c r="A645" s="5"/>
      <c r="D645" s="5"/>
      <c r="I645" s="5"/>
    </row>
    <row r="646" spans="1:9" x14ac:dyDescent="0.25">
      <c r="A646" s="5"/>
      <c r="D646" s="5"/>
      <c r="I646" s="5"/>
    </row>
    <row r="647" spans="1:9" x14ac:dyDescent="0.25">
      <c r="A647" s="5"/>
      <c r="D647" s="5"/>
      <c r="I647" s="5"/>
    </row>
    <row r="648" spans="1:9" x14ac:dyDescent="0.25">
      <c r="A648" s="5"/>
      <c r="D648" s="5"/>
      <c r="I648" s="5"/>
    </row>
    <row r="649" spans="1:9" x14ac:dyDescent="0.25">
      <c r="A649" s="5"/>
      <c r="D649" s="5"/>
      <c r="I649" s="5"/>
    </row>
    <row r="650" spans="1:9" x14ac:dyDescent="0.25">
      <c r="A650" s="5"/>
      <c r="D650" s="5"/>
      <c r="I650" s="5"/>
    </row>
    <row r="651" spans="1:9" x14ac:dyDescent="0.25">
      <c r="A651" s="5"/>
      <c r="D651" s="5"/>
      <c r="I651" s="5"/>
    </row>
    <row r="652" spans="1:9" x14ac:dyDescent="0.25">
      <c r="A652" s="5"/>
      <c r="D652" s="5"/>
      <c r="I652" s="5"/>
    </row>
    <row r="653" spans="1:9" x14ac:dyDescent="0.25">
      <c r="A653" s="5"/>
      <c r="D653" s="5"/>
      <c r="I653" s="5"/>
    </row>
    <row r="654" spans="1:9" x14ac:dyDescent="0.25">
      <c r="A654" s="5"/>
      <c r="D654" s="5"/>
      <c r="I654" s="5"/>
    </row>
    <row r="655" spans="1:9" x14ac:dyDescent="0.25">
      <c r="A655" s="5"/>
      <c r="D655" s="5"/>
      <c r="I655" s="5"/>
    </row>
    <row r="656" spans="1:9" x14ac:dyDescent="0.25">
      <c r="A656" s="5"/>
      <c r="D656" s="5"/>
      <c r="I656" s="5"/>
    </row>
    <row r="657" spans="1:9" x14ac:dyDescent="0.25">
      <c r="A657" s="5"/>
      <c r="D657" s="5"/>
      <c r="I657" s="5"/>
    </row>
    <row r="658" spans="1:9" x14ac:dyDescent="0.25">
      <c r="A658" s="5"/>
      <c r="D658" s="5"/>
      <c r="I658" s="5"/>
    </row>
    <row r="659" spans="1:9" x14ac:dyDescent="0.25">
      <c r="A659" s="5"/>
      <c r="D659" s="5"/>
      <c r="I659" s="5"/>
    </row>
    <row r="660" spans="1:9" x14ac:dyDescent="0.25">
      <c r="A660" s="5"/>
      <c r="D660" s="5"/>
      <c r="I660" s="5"/>
    </row>
    <row r="661" spans="1:9" x14ac:dyDescent="0.25">
      <c r="A661" s="5"/>
      <c r="D661" s="5"/>
      <c r="I661" s="5"/>
    </row>
    <row r="662" spans="1:9" x14ac:dyDescent="0.25">
      <c r="A662" s="5"/>
      <c r="D662" s="5"/>
      <c r="I662" s="5"/>
    </row>
    <row r="663" spans="1:9" x14ac:dyDescent="0.25">
      <c r="A663" s="5"/>
      <c r="D663" s="5"/>
      <c r="I663" s="5"/>
    </row>
    <row r="664" spans="1:9" x14ac:dyDescent="0.25">
      <c r="A664" s="5"/>
      <c r="D664" s="5"/>
      <c r="I664" s="5"/>
    </row>
    <row r="665" spans="1:9" x14ac:dyDescent="0.25">
      <c r="A665" s="5"/>
      <c r="D665" s="5"/>
      <c r="I665" s="5"/>
    </row>
    <row r="666" spans="1:9" x14ac:dyDescent="0.25">
      <c r="A666" s="5"/>
      <c r="D666" s="5"/>
      <c r="I666" s="5"/>
    </row>
    <row r="667" spans="1:9" x14ac:dyDescent="0.25">
      <c r="A667" s="5"/>
      <c r="D667" s="5"/>
      <c r="I667" s="5"/>
    </row>
    <row r="668" spans="1:9" x14ac:dyDescent="0.25">
      <c r="A668" s="5"/>
      <c r="D668" s="5"/>
      <c r="I668" s="5"/>
    </row>
    <row r="669" spans="1:9" x14ac:dyDescent="0.25">
      <c r="A669" s="5"/>
      <c r="D669" s="5"/>
      <c r="I669" s="5"/>
    </row>
    <row r="670" spans="1:9" x14ac:dyDescent="0.25">
      <c r="A670" s="5"/>
      <c r="D670" s="5"/>
      <c r="I670" s="5"/>
    </row>
    <row r="671" spans="1:9" x14ac:dyDescent="0.25">
      <c r="A671" s="5"/>
      <c r="D671" s="5"/>
      <c r="I671" s="5"/>
    </row>
    <row r="672" spans="1:9" x14ac:dyDescent="0.25">
      <c r="A672" s="5"/>
      <c r="D672" s="5"/>
      <c r="I672" s="5"/>
    </row>
    <row r="673" spans="1:9" x14ac:dyDescent="0.25">
      <c r="A673" s="5"/>
      <c r="D673" s="5"/>
      <c r="I673" s="5"/>
    </row>
    <row r="674" spans="1:9" x14ac:dyDescent="0.25">
      <c r="A674" s="5"/>
      <c r="D674" s="5"/>
      <c r="I674" s="5"/>
    </row>
    <row r="675" spans="1:9" x14ac:dyDescent="0.25">
      <c r="A675" s="5"/>
      <c r="D675" s="5"/>
      <c r="I675" s="5"/>
    </row>
    <row r="676" spans="1:9" x14ac:dyDescent="0.25">
      <c r="A676" s="5"/>
      <c r="D676" s="5"/>
      <c r="I676" s="5"/>
    </row>
    <row r="677" spans="1:9" x14ac:dyDescent="0.25">
      <c r="A677" s="5"/>
      <c r="D677" s="5"/>
      <c r="I677" s="5"/>
    </row>
    <row r="678" spans="1:9" x14ac:dyDescent="0.25">
      <c r="A678" s="5"/>
      <c r="D678" s="5"/>
      <c r="I678" s="5"/>
    </row>
    <row r="679" spans="1:9" x14ac:dyDescent="0.25">
      <c r="A679" s="5"/>
      <c r="D679" s="5"/>
      <c r="I679" s="5"/>
    </row>
    <row r="680" spans="1:9" x14ac:dyDescent="0.25">
      <c r="A680" s="5"/>
      <c r="D680" s="5"/>
      <c r="I680" s="5"/>
    </row>
    <row r="681" spans="1:9" x14ac:dyDescent="0.25">
      <c r="A681" s="5"/>
      <c r="D681" s="5"/>
      <c r="I681" s="5"/>
    </row>
    <row r="682" spans="1:9" x14ac:dyDescent="0.25">
      <c r="A682" s="5"/>
      <c r="D682" s="5"/>
      <c r="I682" s="5"/>
    </row>
    <row r="683" spans="1:9" x14ac:dyDescent="0.25">
      <c r="A683" s="5"/>
      <c r="D683" s="5"/>
      <c r="I683" s="5"/>
    </row>
    <row r="684" spans="1:9" x14ac:dyDescent="0.25">
      <c r="A684" s="5"/>
      <c r="D684" s="5"/>
      <c r="I684" s="5"/>
    </row>
    <row r="685" spans="1:9" x14ac:dyDescent="0.25">
      <c r="A685" s="5"/>
      <c r="D685" s="5"/>
      <c r="I685" s="5"/>
    </row>
    <row r="686" spans="1:9" x14ac:dyDescent="0.25">
      <c r="A686" s="5"/>
      <c r="D686" s="5"/>
      <c r="I686" s="5"/>
    </row>
    <row r="687" spans="1:9" x14ac:dyDescent="0.25">
      <c r="A687" s="5"/>
      <c r="D687" s="5"/>
      <c r="I687" s="5"/>
    </row>
    <row r="688" spans="1:9" x14ac:dyDescent="0.25">
      <c r="A688" s="5"/>
      <c r="D688" s="5"/>
      <c r="I688" s="5"/>
    </row>
    <row r="689" spans="1:9" x14ac:dyDescent="0.25">
      <c r="A689" s="5"/>
      <c r="D689" s="5"/>
      <c r="I689" s="5"/>
    </row>
    <row r="690" spans="1:9" x14ac:dyDescent="0.25">
      <c r="A690" s="5"/>
      <c r="D690" s="5"/>
      <c r="I690" s="5"/>
    </row>
    <row r="691" spans="1:9" x14ac:dyDescent="0.25">
      <c r="A691" s="5"/>
      <c r="D691" s="5"/>
      <c r="I691" s="5"/>
    </row>
    <row r="692" spans="1:9" x14ac:dyDescent="0.25">
      <c r="A692" s="5"/>
      <c r="D692" s="5"/>
      <c r="I692" s="5"/>
    </row>
    <row r="693" spans="1:9" x14ac:dyDescent="0.25">
      <c r="A693" s="5"/>
      <c r="D693" s="5"/>
      <c r="I693" s="5"/>
    </row>
    <row r="694" spans="1:9" x14ac:dyDescent="0.25">
      <c r="A694" s="5"/>
      <c r="D694" s="5"/>
      <c r="I694" s="5"/>
    </row>
    <row r="695" spans="1:9" x14ac:dyDescent="0.25">
      <c r="A695" s="5"/>
      <c r="D695" s="5"/>
      <c r="I695" s="5"/>
    </row>
    <row r="696" spans="1:9" x14ac:dyDescent="0.25">
      <c r="A696" s="5"/>
      <c r="D696" s="5"/>
      <c r="I696" s="5"/>
    </row>
    <row r="697" spans="1:9" x14ac:dyDescent="0.25">
      <c r="A697" s="5"/>
      <c r="D697" s="5"/>
      <c r="I697" s="5"/>
    </row>
    <row r="698" spans="1:9" x14ac:dyDescent="0.25">
      <c r="A698" s="5"/>
      <c r="D698" s="5"/>
      <c r="I698" s="5"/>
    </row>
    <row r="699" spans="1:9" x14ac:dyDescent="0.25">
      <c r="A699" s="5"/>
      <c r="D699" s="5"/>
      <c r="I699" s="5"/>
    </row>
    <row r="700" spans="1:9" x14ac:dyDescent="0.25">
      <c r="A700" s="5"/>
      <c r="D700" s="5"/>
      <c r="I700" s="5"/>
    </row>
    <row r="701" spans="1:9" x14ac:dyDescent="0.25">
      <c r="A701" s="5"/>
      <c r="D701" s="5"/>
      <c r="I701" s="5"/>
    </row>
    <row r="702" spans="1:9" x14ac:dyDescent="0.25">
      <c r="A702" s="5"/>
      <c r="D702" s="5"/>
      <c r="I702" s="5"/>
    </row>
    <row r="703" spans="1:9" x14ac:dyDescent="0.25">
      <c r="A703" s="5"/>
      <c r="D703" s="5"/>
      <c r="I703" s="5"/>
    </row>
    <row r="704" spans="1:9" x14ac:dyDescent="0.25">
      <c r="A704" s="5"/>
      <c r="D704" s="5"/>
      <c r="I704" s="5"/>
    </row>
    <row r="705" spans="1:9" x14ac:dyDescent="0.25">
      <c r="A705" s="5"/>
      <c r="D705" s="5"/>
      <c r="I705" s="5"/>
    </row>
    <row r="706" spans="1:9" x14ac:dyDescent="0.25">
      <c r="A706" s="5"/>
      <c r="D706" s="5"/>
      <c r="I706" s="5"/>
    </row>
    <row r="707" spans="1:9" x14ac:dyDescent="0.25">
      <c r="A707" s="5"/>
      <c r="D707" s="5"/>
      <c r="I707" s="5"/>
    </row>
    <row r="708" spans="1:9" x14ac:dyDescent="0.25">
      <c r="A708" s="5"/>
      <c r="D708" s="5"/>
      <c r="I708" s="5"/>
    </row>
    <row r="709" spans="1:9" x14ac:dyDescent="0.25">
      <c r="A709" s="5"/>
      <c r="D709" s="5"/>
      <c r="I709" s="5"/>
    </row>
    <row r="710" spans="1:9" x14ac:dyDescent="0.25">
      <c r="A710" s="5"/>
      <c r="D710" s="5"/>
      <c r="I710" s="5"/>
    </row>
    <row r="711" spans="1:9" x14ac:dyDescent="0.25">
      <c r="A711" s="5"/>
      <c r="D711" s="5"/>
      <c r="I711" s="5"/>
    </row>
    <row r="712" spans="1:9" x14ac:dyDescent="0.25">
      <c r="A712" s="5"/>
      <c r="D712" s="5"/>
      <c r="I712" s="5"/>
    </row>
    <row r="713" spans="1:9" x14ac:dyDescent="0.25">
      <c r="A713" s="5"/>
      <c r="D713" s="5"/>
      <c r="I713" s="5"/>
    </row>
    <row r="714" spans="1:9" x14ac:dyDescent="0.25">
      <c r="A714" s="5"/>
      <c r="D714" s="5"/>
      <c r="I714" s="5"/>
    </row>
    <row r="715" spans="1:9" x14ac:dyDescent="0.25">
      <c r="A715" s="5"/>
      <c r="D715" s="5"/>
      <c r="I715" s="5"/>
    </row>
    <row r="716" spans="1:9" x14ac:dyDescent="0.25">
      <c r="A716" s="5"/>
      <c r="D716" s="5"/>
      <c r="I716" s="5"/>
    </row>
    <row r="717" spans="1:9" x14ac:dyDescent="0.25">
      <c r="A717" s="5"/>
      <c r="D717" s="5"/>
      <c r="I717" s="5"/>
    </row>
    <row r="718" spans="1:9" x14ac:dyDescent="0.25">
      <c r="A718" s="5"/>
      <c r="D718" s="5"/>
      <c r="I718" s="5"/>
    </row>
    <row r="719" spans="1:9" x14ac:dyDescent="0.25">
      <c r="A719" s="5"/>
      <c r="D719" s="5"/>
      <c r="I719" s="5"/>
    </row>
    <row r="720" spans="1:9" x14ac:dyDescent="0.25">
      <c r="A720" s="5"/>
      <c r="D720" s="5"/>
      <c r="I720" s="5"/>
    </row>
    <row r="721" spans="1:9" x14ac:dyDescent="0.25">
      <c r="A721" s="5"/>
      <c r="D721" s="5"/>
      <c r="I721" s="5"/>
    </row>
    <row r="722" spans="1:9" x14ac:dyDescent="0.25">
      <c r="A722" s="5"/>
      <c r="D722" s="5"/>
      <c r="I722" s="5"/>
    </row>
    <row r="723" spans="1:9" x14ac:dyDescent="0.25">
      <c r="A723" s="5"/>
      <c r="D723" s="5"/>
      <c r="I723" s="5"/>
    </row>
    <row r="724" spans="1:9" x14ac:dyDescent="0.25">
      <c r="A724" s="5"/>
      <c r="D724" s="5"/>
      <c r="I724" s="5"/>
    </row>
    <row r="725" spans="1:9" x14ac:dyDescent="0.25">
      <c r="A725" s="5"/>
      <c r="D725" s="5"/>
      <c r="I725" s="5"/>
    </row>
    <row r="726" spans="1:9" x14ac:dyDescent="0.25">
      <c r="A726" s="5"/>
      <c r="D726" s="5"/>
      <c r="I726" s="5"/>
    </row>
    <row r="727" spans="1:9" x14ac:dyDescent="0.25">
      <c r="A727" s="5"/>
      <c r="D727" s="5"/>
      <c r="I727" s="5"/>
    </row>
    <row r="728" spans="1:9" x14ac:dyDescent="0.25">
      <c r="A728" s="5"/>
      <c r="D728" s="5"/>
      <c r="I728" s="5"/>
    </row>
    <row r="729" spans="1:9" x14ac:dyDescent="0.25">
      <c r="A729" s="5"/>
      <c r="D729" s="5"/>
      <c r="I729" s="5"/>
    </row>
    <row r="730" spans="1:9" x14ac:dyDescent="0.25">
      <c r="A730" s="5"/>
      <c r="D730" s="5"/>
      <c r="I730" s="5"/>
    </row>
    <row r="731" spans="1:9" x14ac:dyDescent="0.25">
      <c r="A731" s="5"/>
      <c r="D731" s="5"/>
      <c r="I731" s="5"/>
    </row>
    <row r="732" spans="1:9" x14ac:dyDescent="0.25">
      <c r="A732" s="5"/>
      <c r="D732" s="5"/>
      <c r="I732" s="5"/>
    </row>
    <row r="733" spans="1:9" x14ac:dyDescent="0.25">
      <c r="A733" s="5"/>
      <c r="D733" s="5"/>
      <c r="I733" s="5"/>
    </row>
    <row r="734" spans="1:9" x14ac:dyDescent="0.25">
      <c r="A734" s="5"/>
      <c r="D734" s="5"/>
      <c r="I734" s="5"/>
    </row>
    <row r="735" spans="1:9" x14ac:dyDescent="0.25">
      <c r="A735" s="5"/>
      <c r="D735" s="5"/>
      <c r="I735" s="5"/>
    </row>
    <row r="736" spans="1:9" x14ac:dyDescent="0.25">
      <c r="A736" s="5"/>
      <c r="D736" s="5"/>
      <c r="I736" s="5"/>
    </row>
    <row r="737" spans="1:9" x14ac:dyDescent="0.25">
      <c r="A737" s="5"/>
      <c r="D737" s="5"/>
      <c r="I737" s="5"/>
    </row>
    <row r="738" spans="1:9" x14ac:dyDescent="0.25">
      <c r="A738" s="5"/>
      <c r="D738" s="5"/>
      <c r="I738" s="5"/>
    </row>
    <row r="739" spans="1:9" x14ac:dyDescent="0.25">
      <c r="A739" s="5"/>
      <c r="D739" s="5"/>
      <c r="I739" s="5"/>
    </row>
    <row r="740" spans="1:9" x14ac:dyDescent="0.25">
      <c r="A740" s="5"/>
      <c r="D740" s="5"/>
      <c r="I740" s="5"/>
    </row>
    <row r="741" spans="1:9" x14ac:dyDescent="0.25">
      <c r="A741" s="5"/>
      <c r="D741" s="5"/>
      <c r="I741" s="5"/>
    </row>
    <row r="742" spans="1:9" x14ac:dyDescent="0.25">
      <c r="A742" s="5"/>
      <c r="D742" s="5"/>
      <c r="I742" s="5"/>
    </row>
    <row r="743" spans="1:9" x14ac:dyDescent="0.25">
      <c r="A743" s="5"/>
      <c r="D743" s="5"/>
      <c r="I743" s="5"/>
    </row>
    <row r="744" spans="1:9" x14ac:dyDescent="0.25">
      <c r="A744" s="5"/>
      <c r="D744" s="5"/>
      <c r="I744" s="5"/>
    </row>
    <row r="745" spans="1:9" x14ac:dyDescent="0.25">
      <c r="A745" s="5"/>
      <c r="D745" s="5"/>
      <c r="I745" s="5"/>
    </row>
    <row r="746" spans="1:9" x14ac:dyDescent="0.25">
      <c r="A746" s="5"/>
      <c r="D746" s="5"/>
      <c r="I746" s="5"/>
    </row>
    <row r="747" spans="1:9" x14ac:dyDescent="0.25">
      <c r="A747" s="5"/>
      <c r="D747" s="5"/>
      <c r="I747" s="5"/>
    </row>
    <row r="748" spans="1:9" x14ac:dyDescent="0.25">
      <c r="A748" s="5"/>
      <c r="D748" s="5"/>
      <c r="I748" s="5"/>
    </row>
    <row r="749" spans="1:9" x14ac:dyDescent="0.25">
      <c r="A749" s="5"/>
      <c r="D749" s="5"/>
      <c r="I749" s="5"/>
    </row>
    <row r="750" spans="1:9" x14ac:dyDescent="0.25">
      <c r="A750" s="5"/>
      <c r="D750" s="5"/>
      <c r="I750" s="5"/>
    </row>
    <row r="751" spans="1:9" x14ac:dyDescent="0.25">
      <c r="A751" s="5"/>
      <c r="D751" s="5"/>
      <c r="I751" s="5"/>
    </row>
    <row r="752" spans="1:9" x14ac:dyDescent="0.25">
      <c r="A752" s="5"/>
      <c r="D752" s="5"/>
      <c r="I752" s="5"/>
    </row>
    <row r="753" spans="1:9" x14ac:dyDescent="0.25">
      <c r="A753" s="5"/>
      <c r="D753" s="5"/>
      <c r="I753" s="5"/>
    </row>
    <row r="754" spans="1:9" x14ac:dyDescent="0.25">
      <c r="A754" s="5"/>
      <c r="D754" s="5"/>
      <c r="I754" s="5"/>
    </row>
    <row r="755" spans="1:9" x14ac:dyDescent="0.25">
      <c r="A755" s="5"/>
      <c r="D755" s="5"/>
      <c r="I755" s="5"/>
    </row>
    <row r="756" spans="1:9" x14ac:dyDescent="0.25">
      <c r="A756" s="5"/>
      <c r="D756" s="5"/>
      <c r="I756" s="5"/>
    </row>
    <row r="757" spans="1:9" x14ac:dyDescent="0.25">
      <c r="A757" s="5"/>
      <c r="D757" s="5"/>
      <c r="I757" s="5"/>
    </row>
    <row r="758" spans="1:9" x14ac:dyDescent="0.25">
      <c r="A758" s="5"/>
      <c r="D758" s="5"/>
      <c r="I758" s="5"/>
    </row>
    <row r="759" spans="1:9" x14ac:dyDescent="0.25">
      <c r="A759" s="5"/>
      <c r="D759" s="5"/>
      <c r="I759" s="5"/>
    </row>
    <row r="760" spans="1:9" x14ac:dyDescent="0.25">
      <c r="A760" s="5"/>
      <c r="D760" s="5"/>
      <c r="I760" s="5"/>
    </row>
    <row r="761" spans="1:9" x14ac:dyDescent="0.25">
      <c r="A761" s="5"/>
      <c r="D761" s="5"/>
      <c r="I761" s="5"/>
    </row>
    <row r="762" spans="1:9" x14ac:dyDescent="0.25">
      <c r="A762" s="5"/>
      <c r="D762" s="5"/>
      <c r="I762" s="5"/>
    </row>
    <row r="763" spans="1:9" x14ac:dyDescent="0.25">
      <c r="A763" s="5"/>
      <c r="D763" s="5"/>
      <c r="I763" s="5"/>
    </row>
    <row r="764" spans="1:9" x14ac:dyDescent="0.25">
      <c r="A764" s="5"/>
      <c r="D764" s="5"/>
      <c r="I764" s="5"/>
    </row>
    <row r="765" spans="1:9" x14ac:dyDescent="0.25">
      <c r="A765" s="5"/>
      <c r="D765" s="5"/>
      <c r="I765" s="5"/>
    </row>
    <row r="766" spans="1:9" x14ac:dyDescent="0.25">
      <c r="A766" s="5"/>
      <c r="D766" s="5"/>
      <c r="I766" s="5"/>
    </row>
    <row r="767" spans="1:9" x14ac:dyDescent="0.25">
      <c r="A767" s="5"/>
      <c r="D767" s="5"/>
      <c r="I767" s="5"/>
    </row>
    <row r="768" spans="1:9" x14ac:dyDescent="0.25">
      <c r="A768" s="5"/>
      <c r="D768" s="5"/>
      <c r="I768" s="5"/>
    </row>
    <row r="769" spans="1:9" x14ac:dyDescent="0.25">
      <c r="A769" s="5"/>
      <c r="D769" s="5"/>
      <c r="I769" s="5"/>
    </row>
    <row r="770" spans="1:9" x14ac:dyDescent="0.25">
      <c r="A770" s="5"/>
      <c r="D770" s="5"/>
      <c r="I770" s="5"/>
    </row>
    <row r="771" spans="1:9" x14ac:dyDescent="0.25">
      <c r="A771" s="5"/>
      <c r="D771" s="5"/>
      <c r="I771" s="5"/>
    </row>
    <row r="772" spans="1:9" x14ac:dyDescent="0.25">
      <c r="A772" s="5"/>
      <c r="D772" s="5"/>
      <c r="I772" s="5"/>
    </row>
    <row r="773" spans="1:9" x14ac:dyDescent="0.25">
      <c r="A773" s="5"/>
      <c r="D773" s="5"/>
      <c r="I773" s="5"/>
    </row>
    <row r="774" spans="1:9" x14ac:dyDescent="0.25">
      <c r="A774" s="5"/>
      <c r="D774" s="5"/>
      <c r="I774" s="5"/>
    </row>
    <row r="775" spans="1:9" x14ac:dyDescent="0.25">
      <c r="A775" s="5"/>
      <c r="D775" s="5"/>
      <c r="I775" s="5"/>
    </row>
    <row r="776" spans="1:9" x14ac:dyDescent="0.25">
      <c r="A776" s="5"/>
      <c r="D776" s="5"/>
      <c r="I776" s="5"/>
    </row>
    <row r="777" spans="1:9" x14ac:dyDescent="0.25">
      <c r="A777" s="5"/>
      <c r="D777" s="5"/>
      <c r="I777" s="5"/>
    </row>
    <row r="778" spans="1:9" x14ac:dyDescent="0.25">
      <c r="A778" s="5"/>
      <c r="D778" s="5"/>
      <c r="I778" s="5"/>
    </row>
    <row r="779" spans="1:9" x14ac:dyDescent="0.25">
      <c r="A779" s="5"/>
      <c r="D779" s="5"/>
      <c r="I779" s="5"/>
    </row>
    <row r="780" spans="1:9" x14ac:dyDescent="0.25">
      <c r="A780" s="5"/>
      <c r="D780" s="5"/>
      <c r="I780" s="5"/>
    </row>
    <row r="781" spans="1:9" x14ac:dyDescent="0.25">
      <c r="A781" s="5"/>
      <c r="D781" s="5"/>
      <c r="I781" s="5"/>
    </row>
    <row r="782" spans="1:9" x14ac:dyDescent="0.25">
      <c r="A782" s="5"/>
      <c r="D782" s="5"/>
      <c r="I782" s="5"/>
    </row>
    <row r="783" spans="1:9" x14ac:dyDescent="0.25">
      <c r="A783" s="5"/>
      <c r="D783" s="5"/>
      <c r="I783" s="5"/>
    </row>
    <row r="784" spans="1:9" x14ac:dyDescent="0.25">
      <c r="A784" s="5"/>
      <c r="D784" s="5"/>
      <c r="I784" s="5"/>
    </row>
    <row r="785" spans="1:9" x14ac:dyDescent="0.25">
      <c r="A785" s="5"/>
      <c r="D785" s="5"/>
      <c r="I785" s="5"/>
    </row>
    <row r="786" spans="1:9" x14ac:dyDescent="0.25">
      <c r="A786" s="5"/>
      <c r="D786" s="5"/>
      <c r="I786" s="5"/>
    </row>
    <row r="787" spans="1:9" x14ac:dyDescent="0.25">
      <c r="A787" s="5"/>
      <c r="D787" s="5"/>
      <c r="I787" s="5"/>
    </row>
    <row r="788" spans="1:9" x14ac:dyDescent="0.25">
      <c r="A788" s="5"/>
      <c r="D788" s="5"/>
      <c r="I788" s="5"/>
    </row>
    <row r="789" spans="1:9" x14ac:dyDescent="0.25">
      <c r="A789" s="5"/>
      <c r="D789" s="5"/>
      <c r="I789" s="5"/>
    </row>
    <row r="790" spans="1:9" x14ac:dyDescent="0.25">
      <c r="A790" s="5"/>
      <c r="D790" s="5"/>
      <c r="I790" s="5"/>
    </row>
    <row r="791" spans="1:9" x14ac:dyDescent="0.25">
      <c r="A791" s="5"/>
      <c r="D791" s="5"/>
      <c r="I791" s="5"/>
    </row>
    <row r="792" spans="1:9" x14ac:dyDescent="0.25">
      <c r="A792" s="5"/>
      <c r="D792" s="5"/>
      <c r="I792" s="5"/>
    </row>
    <row r="793" spans="1:9" x14ac:dyDescent="0.25">
      <c r="A793" s="5"/>
      <c r="D793" s="5"/>
      <c r="I793" s="5"/>
    </row>
    <row r="794" spans="1:9" x14ac:dyDescent="0.25">
      <c r="A794" s="5"/>
      <c r="D794" s="5"/>
      <c r="I794" s="5"/>
    </row>
    <row r="795" spans="1:9" x14ac:dyDescent="0.25">
      <c r="A795" s="5"/>
      <c r="D795" s="5"/>
      <c r="I795" s="5"/>
    </row>
    <row r="796" spans="1:9" x14ac:dyDescent="0.25">
      <c r="A796" s="5"/>
      <c r="D796" s="5"/>
      <c r="I796" s="5"/>
    </row>
    <row r="797" spans="1:9" x14ac:dyDescent="0.25">
      <c r="A797" s="5"/>
      <c r="D797" s="5"/>
      <c r="I797" s="5"/>
    </row>
    <row r="798" spans="1:9" x14ac:dyDescent="0.25">
      <c r="A798" s="5"/>
      <c r="D798" s="5"/>
      <c r="I798" s="5"/>
    </row>
    <row r="799" spans="1:9" x14ac:dyDescent="0.25">
      <c r="A799" s="5"/>
      <c r="D799" s="5"/>
      <c r="I799" s="5"/>
    </row>
    <row r="800" spans="1:9" x14ac:dyDescent="0.25">
      <c r="A800" s="5"/>
      <c r="D800" s="5"/>
      <c r="I800" s="5"/>
    </row>
    <row r="801" spans="1:9" x14ac:dyDescent="0.25">
      <c r="A801" s="5"/>
      <c r="D801" s="5"/>
      <c r="I801" s="5"/>
    </row>
    <row r="802" spans="1:9" x14ac:dyDescent="0.25">
      <c r="A802" s="5"/>
      <c r="D802" s="5"/>
      <c r="I802" s="5"/>
    </row>
    <row r="803" spans="1:9" x14ac:dyDescent="0.25">
      <c r="A803" s="5"/>
      <c r="D803" s="5"/>
      <c r="I803" s="5"/>
    </row>
    <row r="804" spans="1:9" x14ac:dyDescent="0.25">
      <c r="A804" s="5"/>
      <c r="D804" s="5"/>
      <c r="I804" s="5"/>
    </row>
    <row r="805" spans="1:9" x14ac:dyDescent="0.25">
      <c r="A805" s="5"/>
      <c r="D805" s="5"/>
      <c r="I805" s="5"/>
    </row>
    <row r="806" spans="1:9" x14ac:dyDescent="0.25">
      <c r="A806" s="5"/>
      <c r="D806" s="5"/>
      <c r="I806" s="5"/>
    </row>
    <row r="807" spans="1:9" x14ac:dyDescent="0.25">
      <c r="A807" s="5"/>
      <c r="D807" s="5"/>
      <c r="I807" s="5"/>
    </row>
    <row r="808" spans="1:9" x14ac:dyDescent="0.25">
      <c r="A808" s="5"/>
      <c r="D808" s="5"/>
      <c r="I808" s="5"/>
    </row>
    <row r="809" spans="1:9" x14ac:dyDescent="0.25">
      <c r="A809" s="5"/>
      <c r="D809" s="5"/>
      <c r="I809" s="5"/>
    </row>
    <row r="810" spans="1:9" x14ac:dyDescent="0.25">
      <c r="A810" s="5"/>
      <c r="D810" s="5"/>
      <c r="I810" s="5"/>
    </row>
    <row r="811" spans="1:9" x14ac:dyDescent="0.25">
      <c r="A811" s="5"/>
      <c r="D811" s="5"/>
      <c r="I811" s="5"/>
    </row>
    <row r="812" spans="1:9" x14ac:dyDescent="0.25">
      <c r="A812" s="5"/>
      <c r="D812" s="5"/>
      <c r="I812" s="5"/>
    </row>
    <row r="813" spans="1:9" x14ac:dyDescent="0.25">
      <c r="A813" s="5"/>
      <c r="D813" s="5"/>
      <c r="I813" s="5"/>
    </row>
    <row r="814" spans="1:9" x14ac:dyDescent="0.25">
      <c r="A814" s="5"/>
      <c r="D814" s="5"/>
      <c r="I814" s="5"/>
    </row>
    <row r="815" spans="1:9" x14ac:dyDescent="0.25">
      <c r="A815" s="5"/>
      <c r="D815" s="5"/>
      <c r="I815" s="5"/>
    </row>
    <row r="816" spans="1:9" x14ac:dyDescent="0.25">
      <c r="A816" s="5"/>
      <c r="D816" s="5"/>
      <c r="I816" s="5"/>
    </row>
    <row r="817" spans="1:9" x14ac:dyDescent="0.25">
      <c r="A817" s="5"/>
      <c r="D817" s="5"/>
      <c r="I817" s="5"/>
    </row>
    <row r="818" spans="1:9" x14ac:dyDescent="0.25">
      <c r="A818" s="5"/>
      <c r="D818" s="5"/>
      <c r="I818" s="5"/>
    </row>
    <row r="819" spans="1:9" x14ac:dyDescent="0.25">
      <c r="A819" s="5"/>
      <c r="D819" s="5"/>
      <c r="I819" s="5"/>
    </row>
    <row r="820" spans="1:9" x14ac:dyDescent="0.25">
      <c r="A820" s="5"/>
      <c r="D820" s="5"/>
      <c r="I820" s="5"/>
    </row>
    <row r="821" spans="1:9" x14ac:dyDescent="0.25">
      <c r="A821" s="5"/>
      <c r="D821" s="5"/>
      <c r="I821" s="5"/>
    </row>
    <row r="822" spans="1:9" x14ac:dyDescent="0.25">
      <c r="A822" s="5"/>
      <c r="D822" s="5"/>
      <c r="I822" s="5"/>
    </row>
    <row r="823" spans="1:9" x14ac:dyDescent="0.25">
      <c r="A823" s="5"/>
      <c r="D823" s="5"/>
      <c r="I823" s="5"/>
    </row>
    <row r="824" spans="1:9" x14ac:dyDescent="0.25">
      <c r="A824" s="5"/>
      <c r="D824" s="5"/>
      <c r="I824" s="5"/>
    </row>
    <row r="825" spans="1:9" x14ac:dyDescent="0.25">
      <c r="A825" s="5"/>
      <c r="D825" s="5"/>
      <c r="I825" s="5"/>
    </row>
    <row r="826" spans="1:9" x14ac:dyDescent="0.25">
      <c r="A826" s="5"/>
      <c r="D826" s="5"/>
      <c r="I826" s="5"/>
    </row>
    <row r="827" spans="1:9" x14ac:dyDescent="0.25">
      <c r="A827" s="5"/>
      <c r="D827" s="5"/>
      <c r="I827" s="5"/>
    </row>
    <row r="828" spans="1:9" x14ac:dyDescent="0.25">
      <c r="A828" s="5"/>
      <c r="D828" s="5"/>
      <c r="I828" s="5"/>
    </row>
    <row r="829" spans="1:9" x14ac:dyDescent="0.25">
      <c r="A829" s="5"/>
      <c r="D829" s="5"/>
      <c r="I829" s="5"/>
    </row>
    <row r="830" spans="1:9" x14ac:dyDescent="0.25">
      <c r="A830" s="5"/>
      <c r="D830" s="5"/>
      <c r="I830" s="5"/>
    </row>
    <row r="831" spans="1:9" x14ac:dyDescent="0.25">
      <c r="A831" s="5"/>
      <c r="D831" s="5"/>
      <c r="I831" s="5"/>
    </row>
    <row r="832" spans="1:9" x14ac:dyDescent="0.25">
      <c r="A832" s="5"/>
      <c r="D832" s="5"/>
      <c r="I832" s="5"/>
    </row>
    <row r="833" spans="1:9" x14ac:dyDescent="0.25">
      <c r="A833" s="5"/>
      <c r="D833" s="5"/>
      <c r="I833" s="5"/>
    </row>
    <row r="834" spans="1:9" x14ac:dyDescent="0.25">
      <c r="A834" s="5"/>
      <c r="D834" s="5"/>
      <c r="I834" s="5"/>
    </row>
    <row r="835" spans="1:9" x14ac:dyDescent="0.25">
      <c r="A835" s="5"/>
      <c r="D835" s="5"/>
      <c r="I835" s="5"/>
    </row>
    <row r="836" spans="1:9" x14ac:dyDescent="0.25">
      <c r="A836" s="5"/>
      <c r="D836" s="5"/>
      <c r="I836" s="5"/>
    </row>
    <row r="837" spans="1:9" x14ac:dyDescent="0.25">
      <c r="A837" s="5"/>
      <c r="D837" s="5"/>
      <c r="I837" s="5"/>
    </row>
    <row r="838" spans="1:9" x14ac:dyDescent="0.25">
      <c r="A838" s="5"/>
      <c r="D838" s="5"/>
      <c r="I838" s="5"/>
    </row>
    <row r="839" spans="1:9" x14ac:dyDescent="0.25">
      <c r="A839" s="5"/>
      <c r="D839" s="5"/>
      <c r="I839" s="5"/>
    </row>
    <row r="840" spans="1:9" x14ac:dyDescent="0.25">
      <c r="A840" s="5"/>
      <c r="D840" s="5"/>
      <c r="I840" s="5"/>
    </row>
    <row r="841" spans="1:9" x14ac:dyDescent="0.25">
      <c r="A841" s="5"/>
      <c r="D841" s="5"/>
      <c r="I841" s="5"/>
    </row>
    <row r="842" spans="1:9" x14ac:dyDescent="0.25">
      <c r="A842" s="5"/>
      <c r="D842" s="5"/>
      <c r="I842" s="5"/>
    </row>
    <row r="843" spans="1:9" x14ac:dyDescent="0.25">
      <c r="A843" s="5"/>
      <c r="D843" s="5"/>
      <c r="I843" s="5"/>
    </row>
    <row r="844" spans="1:9" x14ac:dyDescent="0.25">
      <c r="A844" s="5"/>
      <c r="D844" s="5"/>
      <c r="I844" s="5"/>
    </row>
    <row r="845" spans="1:9" x14ac:dyDescent="0.25">
      <c r="A845" s="5"/>
      <c r="D845" s="5"/>
      <c r="I845" s="5"/>
    </row>
    <row r="846" spans="1:9" x14ac:dyDescent="0.25">
      <c r="A846" s="5"/>
      <c r="D846" s="5"/>
      <c r="I846" s="5"/>
    </row>
    <row r="847" spans="1:9" x14ac:dyDescent="0.25">
      <c r="A847" s="5"/>
      <c r="D847" s="5"/>
      <c r="I847" s="5"/>
    </row>
    <row r="848" spans="1:9" x14ac:dyDescent="0.25">
      <c r="A848" s="5"/>
      <c r="D848" s="5"/>
      <c r="I848" s="5"/>
    </row>
    <row r="849" spans="1:9" x14ac:dyDescent="0.25">
      <c r="A849" s="5"/>
      <c r="D849" s="5"/>
      <c r="I849" s="5"/>
    </row>
    <row r="850" spans="1:9" x14ac:dyDescent="0.25">
      <c r="A850" s="5"/>
      <c r="D850" s="5"/>
      <c r="I850" s="5"/>
    </row>
    <row r="851" spans="1:9" x14ac:dyDescent="0.25">
      <c r="A851" s="5"/>
      <c r="D851" s="5"/>
      <c r="I851" s="5"/>
    </row>
    <row r="852" spans="1:9" x14ac:dyDescent="0.25">
      <c r="A852" s="5"/>
      <c r="D852" s="5"/>
      <c r="I852" s="5"/>
    </row>
    <row r="853" spans="1:9" x14ac:dyDescent="0.25">
      <c r="A853" s="5"/>
      <c r="D853" s="5"/>
      <c r="I853" s="5"/>
    </row>
    <row r="854" spans="1:9" x14ac:dyDescent="0.25">
      <c r="A854" s="5"/>
      <c r="D854" s="5"/>
      <c r="I854" s="5"/>
    </row>
    <row r="855" spans="1:9" x14ac:dyDescent="0.25">
      <c r="A855" s="5"/>
      <c r="D855" s="5"/>
      <c r="I855" s="5"/>
    </row>
    <row r="856" spans="1:9" x14ac:dyDescent="0.25">
      <c r="A856" s="5"/>
      <c r="D856" s="5"/>
      <c r="I856" s="5"/>
    </row>
    <row r="857" spans="1:9" x14ac:dyDescent="0.25">
      <c r="A857" s="5"/>
      <c r="D857" s="5"/>
      <c r="I857" s="5"/>
    </row>
    <row r="858" spans="1:9" x14ac:dyDescent="0.25">
      <c r="A858" s="5"/>
      <c r="D858" s="5"/>
      <c r="I858" s="5"/>
    </row>
    <row r="859" spans="1:9" x14ac:dyDescent="0.25">
      <c r="A859" s="5"/>
      <c r="D859" s="5"/>
      <c r="I859" s="5"/>
    </row>
    <row r="860" spans="1:9" x14ac:dyDescent="0.25">
      <c r="A860" s="5"/>
      <c r="D860" s="5"/>
      <c r="I860" s="5"/>
    </row>
    <row r="861" spans="1:9" x14ac:dyDescent="0.25">
      <c r="A861" s="5"/>
      <c r="D861" s="5"/>
      <c r="I861" s="5"/>
    </row>
    <row r="862" spans="1:9" x14ac:dyDescent="0.25">
      <c r="A862" s="5"/>
      <c r="D862" s="5"/>
      <c r="I862" s="5"/>
    </row>
    <row r="863" spans="1:9" x14ac:dyDescent="0.25">
      <c r="A863" s="5"/>
      <c r="D863" s="5"/>
      <c r="I863" s="5"/>
    </row>
    <row r="864" spans="1:9" x14ac:dyDescent="0.25">
      <c r="A864" s="5"/>
      <c r="D864" s="5"/>
      <c r="I864" s="5"/>
    </row>
    <row r="865" spans="1:9" x14ac:dyDescent="0.25">
      <c r="A865" s="5"/>
      <c r="D865" s="5"/>
      <c r="I865" s="5"/>
    </row>
    <row r="866" spans="1:9" x14ac:dyDescent="0.25">
      <c r="A866" s="5"/>
      <c r="D866" s="5"/>
      <c r="I866" s="5"/>
    </row>
    <row r="867" spans="1:9" x14ac:dyDescent="0.25">
      <c r="A867" s="5"/>
      <c r="D867" s="5"/>
      <c r="I867" s="5"/>
    </row>
    <row r="868" spans="1:9" x14ac:dyDescent="0.25">
      <c r="A868" s="5"/>
      <c r="D868" s="5"/>
      <c r="I868" s="5"/>
    </row>
    <row r="869" spans="1:9" x14ac:dyDescent="0.25">
      <c r="A869" s="5"/>
      <c r="D869" s="5"/>
      <c r="I869" s="5"/>
    </row>
    <row r="870" spans="1:9" x14ac:dyDescent="0.25">
      <c r="A870" s="5"/>
      <c r="D870" s="5"/>
      <c r="I870" s="5"/>
    </row>
    <row r="871" spans="1:9" x14ac:dyDescent="0.25">
      <c r="A871" s="5"/>
      <c r="D871" s="5"/>
      <c r="I871" s="5"/>
    </row>
    <row r="872" spans="1:9" x14ac:dyDescent="0.25">
      <c r="A872" s="5"/>
      <c r="D872" s="5"/>
      <c r="I872" s="5"/>
    </row>
    <row r="873" spans="1:9" x14ac:dyDescent="0.25">
      <c r="A873" s="5"/>
      <c r="D873" s="5"/>
      <c r="I873" s="5"/>
    </row>
    <row r="874" spans="1:9" x14ac:dyDescent="0.25">
      <c r="A874" s="5"/>
      <c r="D874" s="5"/>
      <c r="I874" s="5"/>
    </row>
    <row r="875" spans="1:9" x14ac:dyDescent="0.25">
      <c r="A875" s="5"/>
      <c r="D875" s="5"/>
      <c r="I875" s="5"/>
    </row>
    <row r="876" spans="1:9" x14ac:dyDescent="0.25">
      <c r="A876" s="5"/>
      <c r="D876" s="5"/>
      <c r="I876" s="5"/>
    </row>
    <row r="877" spans="1:9" x14ac:dyDescent="0.25">
      <c r="A877" s="5"/>
      <c r="D877" s="5"/>
      <c r="I877" s="5"/>
    </row>
    <row r="878" spans="1:9" x14ac:dyDescent="0.25">
      <c r="A878" s="5"/>
      <c r="D878" s="5"/>
      <c r="I878" s="5"/>
    </row>
    <row r="879" spans="1:9" x14ac:dyDescent="0.25">
      <c r="A879" s="5"/>
      <c r="D879" s="5"/>
      <c r="I879" s="5"/>
    </row>
    <row r="880" spans="1:9" x14ac:dyDescent="0.25">
      <c r="A880" s="5"/>
      <c r="D880" s="5"/>
      <c r="I880" s="5"/>
    </row>
    <row r="881" spans="1:9" x14ac:dyDescent="0.25">
      <c r="A881" s="5"/>
      <c r="D881" s="5"/>
      <c r="I881" s="5"/>
    </row>
    <row r="882" spans="1:9" x14ac:dyDescent="0.25">
      <c r="A882" s="5"/>
      <c r="D882" s="5"/>
      <c r="I882" s="5"/>
    </row>
    <row r="883" spans="1:9" x14ac:dyDescent="0.25">
      <c r="A883" s="5"/>
      <c r="D883" s="5"/>
      <c r="I883" s="5"/>
    </row>
    <row r="884" spans="1:9" x14ac:dyDescent="0.25">
      <c r="A884" s="5"/>
      <c r="D884" s="5"/>
      <c r="I884" s="5"/>
    </row>
    <row r="885" spans="1:9" x14ac:dyDescent="0.25">
      <c r="A885" s="5"/>
      <c r="D885" s="5"/>
      <c r="I885" s="5"/>
    </row>
    <row r="886" spans="1:9" x14ac:dyDescent="0.25">
      <c r="A886" s="5"/>
      <c r="D886" s="5"/>
      <c r="I886" s="5"/>
    </row>
    <row r="887" spans="1:9" x14ac:dyDescent="0.25">
      <c r="A887" s="5"/>
      <c r="D887" s="5"/>
      <c r="I887" s="5"/>
    </row>
    <row r="888" spans="1:9" x14ac:dyDescent="0.25">
      <c r="A888" s="5"/>
      <c r="D888" s="5"/>
      <c r="I888" s="5"/>
    </row>
    <row r="889" spans="1:9" x14ac:dyDescent="0.25">
      <c r="A889" s="5"/>
      <c r="D889" s="5"/>
      <c r="I889" s="5"/>
    </row>
    <row r="890" spans="1:9" x14ac:dyDescent="0.25">
      <c r="A890" s="5"/>
      <c r="D890" s="5"/>
      <c r="I890" s="5"/>
    </row>
    <row r="891" spans="1:9" x14ac:dyDescent="0.25">
      <c r="A891" s="5"/>
      <c r="D891" s="5"/>
      <c r="I891" s="5"/>
    </row>
    <row r="892" spans="1:9" x14ac:dyDescent="0.25">
      <c r="A892" s="5"/>
      <c r="D892" s="5"/>
      <c r="I892" s="5"/>
    </row>
    <row r="893" spans="1:9" x14ac:dyDescent="0.25">
      <c r="A893" s="5"/>
      <c r="D893" s="5"/>
      <c r="I893" s="5"/>
    </row>
    <row r="894" spans="1:9" x14ac:dyDescent="0.25">
      <c r="A894" s="5"/>
      <c r="D894" s="5"/>
      <c r="I894" s="5"/>
    </row>
    <row r="895" spans="1:9" x14ac:dyDescent="0.25">
      <c r="A895" s="5"/>
      <c r="D895" s="5"/>
      <c r="I895" s="5"/>
    </row>
    <row r="896" spans="1:9" x14ac:dyDescent="0.25">
      <c r="A896" s="5"/>
      <c r="D896" s="5"/>
      <c r="I896" s="5"/>
    </row>
    <row r="897" spans="1:9" x14ac:dyDescent="0.25">
      <c r="A897" s="5"/>
      <c r="D897" s="5"/>
      <c r="I897" s="5"/>
    </row>
    <row r="898" spans="1:9" x14ac:dyDescent="0.25">
      <c r="A898" s="5"/>
      <c r="D898" s="5"/>
      <c r="I898" s="5"/>
    </row>
    <row r="899" spans="1:9" x14ac:dyDescent="0.25">
      <c r="A899" s="5"/>
      <c r="D899" s="5"/>
      <c r="I899" s="5"/>
    </row>
    <row r="900" spans="1:9" x14ac:dyDescent="0.25">
      <c r="A900" s="5"/>
      <c r="D900" s="5"/>
      <c r="I900" s="5"/>
    </row>
    <row r="901" spans="1:9" x14ac:dyDescent="0.25">
      <c r="A901" s="5"/>
      <c r="D901" s="5"/>
      <c r="I901" s="5"/>
    </row>
    <row r="902" spans="1:9" x14ac:dyDescent="0.25">
      <c r="A902" s="5"/>
      <c r="D902" s="5"/>
      <c r="I902" s="5"/>
    </row>
    <row r="903" spans="1:9" x14ac:dyDescent="0.25">
      <c r="A903" s="5"/>
      <c r="D903" s="5"/>
      <c r="I903" s="5"/>
    </row>
    <row r="904" spans="1:9" x14ac:dyDescent="0.25">
      <c r="A904" s="5"/>
      <c r="D904" s="5"/>
      <c r="I904" s="5"/>
    </row>
    <row r="905" spans="1:9" x14ac:dyDescent="0.25">
      <c r="A905" s="5"/>
      <c r="D905" s="5"/>
      <c r="I905" s="5"/>
    </row>
    <row r="906" spans="1:9" x14ac:dyDescent="0.25">
      <c r="A906" s="5"/>
      <c r="D906" s="5"/>
      <c r="I906" s="5"/>
    </row>
    <row r="907" spans="1:9" x14ac:dyDescent="0.25">
      <c r="A907" s="5"/>
      <c r="D907" s="5"/>
      <c r="I907" s="5"/>
    </row>
    <row r="908" spans="1:9" x14ac:dyDescent="0.25">
      <c r="A908" s="5"/>
      <c r="D908" s="5"/>
      <c r="I908" s="5"/>
    </row>
    <row r="909" spans="1:9" x14ac:dyDescent="0.25">
      <c r="A909" s="5"/>
      <c r="D909" s="5"/>
      <c r="I909" s="5"/>
    </row>
    <row r="910" spans="1:9" x14ac:dyDescent="0.25">
      <c r="A910" s="5"/>
      <c r="D910" s="5"/>
      <c r="I910" s="5"/>
    </row>
    <row r="911" spans="1:9" x14ac:dyDescent="0.25">
      <c r="A911" s="5"/>
      <c r="D911" s="5"/>
      <c r="I911" s="5"/>
    </row>
    <row r="912" spans="1:9" x14ac:dyDescent="0.25">
      <c r="A912" s="5"/>
      <c r="D912" s="5"/>
      <c r="I912" s="5"/>
    </row>
    <row r="913" spans="1:9" x14ac:dyDescent="0.25">
      <c r="A913" s="5"/>
      <c r="D913" s="5"/>
      <c r="I913" s="5"/>
    </row>
    <row r="914" spans="1:9" x14ac:dyDescent="0.25">
      <c r="A914" s="5"/>
      <c r="D914" s="5"/>
      <c r="I914" s="5"/>
    </row>
    <row r="915" spans="1:9" x14ac:dyDescent="0.25">
      <c r="A915" s="5"/>
      <c r="D915" s="5"/>
      <c r="I915" s="5"/>
    </row>
    <row r="916" spans="1:9" x14ac:dyDescent="0.25">
      <c r="A916" s="5"/>
      <c r="D916" s="5"/>
      <c r="I916" s="5"/>
    </row>
    <row r="917" spans="1:9" x14ac:dyDescent="0.25">
      <c r="A917" s="5"/>
      <c r="D917" s="5"/>
      <c r="I917" s="5"/>
    </row>
    <row r="918" spans="1:9" x14ac:dyDescent="0.25">
      <c r="A918" s="5"/>
      <c r="D918" s="5"/>
      <c r="I918" s="5"/>
    </row>
    <row r="919" spans="1:9" x14ac:dyDescent="0.25">
      <c r="A919" s="5"/>
      <c r="D919" s="5"/>
      <c r="I919" s="5"/>
    </row>
    <row r="920" spans="1:9" x14ac:dyDescent="0.25">
      <c r="A920" s="5"/>
      <c r="D920" s="5"/>
      <c r="I920" s="5"/>
    </row>
    <row r="921" spans="1:9" x14ac:dyDescent="0.25">
      <c r="A921" s="5"/>
      <c r="D921" s="5"/>
      <c r="I921" s="5"/>
    </row>
    <row r="922" spans="1:9" x14ac:dyDescent="0.25">
      <c r="A922" s="5"/>
      <c r="D922" s="5"/>
      <c r="I922" s="5"/>
    </row>
    <row r="923" spans="1:9" x14ac:dyDescent="0.25">
      <c r="A923" s="5"/>
      <c r="D923" s="5"/>
      <c r="I923" s="5"/>
    </row>
    <row r="924" spans="1:9" x14ac:dyDescent="0.25">
      <c r="A924" s="5"/>
      <c r="D924" s="5"/>
      <c r="I924" s="5"/>
    </row>
    <row r="925" spans="1:9" x14ac:dyDescent="0.25">
      <c r="A925" s="5"/>
      <c r="D925" s="5"/>
      <c r="I925" s="5"/>
    </row>
    <row r="926" spans="1:9" x14ac:dyDescent="0.25">
      <c r="A926" s="5"/>
      <c r="D926" s="5"/>
      <c r="I926" s="5"/>
    </row>
    <row r="927" spans="1:9" x14ac:dyDescent="0.25">
      <c r="A927" s="5"/>
      <c r="D927" s="5"/>
      <c r="I927" s="5"/>
    </row>
    <row r="928" spans="1:9" x14ac:dyDescent="0.25">
      <c r="A928" s="5"/>
      <c r="D928" s="5"/>
      <c r="I928" s="5"/>
    </row>
    <row r="929" spans="1:9" x14ac:dyDescent="0.25">
      <c r="A929" s="5"/>
      <c r="D929" s="5"/>
      <c r="I929" s="5"/>
    </row>
    <row r="930" spans="1:9" x14ac:dyDescent="0.25">
      <c r="A930" s="5"/>
      <c r="D930" s="5"/>
      <c r="I930" s="5"/>
    </row>
    <row r="931" spans="1:9" x14ac:dyDescent="0.25">
      <c r="A931" s="5"/>
      <c r="D931" s="5"/>
      <c r="I931" s="5"/>
    </row>
    <row r="932" spans="1:9" x14ac:dyDescent="0.25">
      <c r="A932" s="5"/>
      <c r="D932" s="5"/>
      <c r="I932" s="5"/>
    </row>
    <row r="933" spans="1:9" x14ac:dyDescent="0.25">
      <c r="A933" s="5"/>
      <c r="D933" s="5"/>
      <c r="I933" s="5"/>
    </row>
    <row r="934" spans="1:9" x14ac:dyDescent="0.25">
      <c r="A934" s="5"/>
      <c r="D934" s="5"/>
      <c r="I934" s="5"/>
    </row>
    <row r="935" spans="1:9" x14ac:dyDescent="0.25">
      <c r="A935" s="5"/>
      <c r="D935" s="5"/>
      <c r="I935" s="5"/>
    </row>
    <row r="936" spans="1:9" x14ac:dyDescent="0.25">
      <c r="A936" s="5"/>
      <c r="D936" s="5"/>
      <c r="I936" s="5"/>
    </row>
    <row r="937" spans="1:9" x14ac:dyDescent="0.25">
      <c r="A937" s="5"/>
      <c r="D937" s="5"/>
      <c r="I937" s="5"/>
    </row>
    <row r="938" spans="1:9" x14ac:dyDescent="0.25">
      <c r="A938" s="5"/>
      <c r="D938" s="5"/>
      <c r="I938" s="5"/>
    </row>
    <row r="939" spans="1:9" x14ac:dyDescent="0.25">
      <c r="A939" s="5"/>
      <c r="D939" s="5"/>
      <c r="I939" s="5"/>
    </row>
    <row r="940" spans="1:9" x14ac:dyDescent="0.25">
      <c r="A940" s="5"/>
      <c r="D940" s="5"/>
      <c r="I940" s="5"/>
    </row>
    <row r="941" spans="1:9" x14ac:dyDescent="0.25">
      <c r="A941" s="5"/>
      <c r="D941" s="5"/>
      <c r="I941" s="5"/>
    </row>
    <row r="942" spans="1:9" x14ac:dyDescent="0.25">
      <c r="A942" s="5"/>
      <c r="D942" s="5"/>
      <c r="I942" s="5"/>
    </row>
    <row r="943" spans="1:9" x14ac:dyDescent="0.25">
      <c r="A943" s="5"/>
      <c r="D943" s="5"/>
      <c r="I943" s="5"/>
    </row>
    <row r="944" spans="1:9" x14ac:dyDescent="0.25">
      <c r="A944" s="5"/>
      <c r="D944" s="5"/>
      <c r="I944" s="5"/>
    </row>
    <row r="945" spans="1:9" x14ac:dyDescent="0.25">
      <c r="A945" s="5"/>
      <c r="D945" s="5"/>
      <c r="I945" s="5"/>
    </row>
    <row r="946" spans="1:9" x14ac:dyDescent="0.25">
      <c r="A946" s="5"/>
      <c r="D946" s="5"/>
      <c r="I946" s="5"/>
    </row>
    <row r="947" spans="1:9" x14ac:dyDescent="0.25">
      <c r="A947" s="5"/>
      <c r="D947" s="5"/>
      <c r="I947" s="5"/>
    </row>
    <row r="948" spans="1:9" x14ac:dyDescent="0.25">
      <c r="A948" s="5"/>
      <c r="D948" s="5"/>
      <c r="I948" s="5"/>
    </row>
    <row r="949" spans="1:9" x14ac:dyDescent="0.25">
      <c r="A949" s="5"/>
      <c r="D949" s="5"/>
      <c r="I949" s="5"/>
    </row>
    <row r="950" spans="1:9" x14ac:dyDescent="0.25">
      <c r="A950" s="5"/>
      <c r="D950" s="5"/>
      <c r="I950" s="5"/>
    </row>
    <row r="951" spans="1:9" x14ac:dyDescent="0.25">
      <c r="A951" s="5"/>
      <c r="D951" s="5"/>
      <c r="I951" s="5"/>
    </row>
    <row r="952" spans="1:9" x14ac:dyDescent="0.25">
      <c r="A952" s="5"/>
      <c r="D952" s="5"/>
      <c r="I952" s="5"/>
    </row>
    <row r="953" spans="1:9" x14ac:dyDescent="0.25">
      <c r="A953" s="5"/>
      <c r="D953" s="5"/>
      <c r="I953" s="5"/>
    </row>
    <row r="954" spans="1:9" x14ac:dyDescent="0.25">
      <c r="A954" s="5"/>
      <c r="D954" s="5"/>
      <c r="I954" s="5"/>
    </row>
    <row r="955" spans="1:9" x14ac:dyDescent="0.25">
      <c r="A955" s="5"/>
      <c r="D955" s="5"/>
      <c r="I955" s="5"/>
    </row>
    <row r="956" spans="1:9" x14ac:dyDescent="0.25">
      <c r="A956" s="5"/>
      <c r="D956" s="5"/>
      <c r="I956" s="5"/>
    </row>
    <row r="957" spans="1:9" x14ac:dyDescent="0.25">
      <c r="A957" s="5"/>
      <c r="D957" s="5"/>
      <c r="I957" s="5"/>
    </row>
    <row r="958" spans="1:9" x14ac:dyDescent="0.25">
      <c r="A958" s="5"/>
      <c r="D958" s="5"/>
      <c r="I958" s="5"/>
    </row>
    <row r="959" spans="1:9" x14ac:dyDescent="0.25">
      <c r="A959" s="5"/>
      <c r="D959" s="5"/>
      <c r="I959" s="5"/>
    </row>
    <row r="960" spans="1:9" x14ac:dyDescent="0.25">
      <c r="A960" s="5"/>
      <c r="D960" s="5"/>
      <c r="I960" s="5"/>
    </row>
    <row r="961" spans="1:9" x14ac:dyDescent="0.25">
      <c r="A961" s="5"/>
      <c r="D961" s="5"/>
      <c r="I961" s="5"/>
    </row>
    <row r="962" spans="1:9" x14ac:dyDescent="0.25">
      <c r="A962" s="5"/>
      <c r="D962" s="5"/>
      <c r="I962" s="5"/>
    </row>
    <row r="963" spans="1:9" x14ac:dyDescent="0.25">
      <c r="A963" s="5"/>
      <c r="D963" s="5"/>
      <c r="I963" s="5"/>
    </row>
    <row r="964" spans="1:9" x14ac:dyDescent="0.25">
      <c r="A964" s="5"/>
      <c r="D964" s="5"/>
      <c r="I964" s="5"/>
    </row>
    <row r="965" spans="1:9" x14ac:dyDescent="0.25">
      <c r="A965" s="5"/>
      <c r="D965" s="5"/>
      <c r="I965" s="5"/>
    </row>
    <row r="966" spans="1:9" x14ac:dyDescent="0.25">
      <c r="A966" s="5"/>
      <c r="D966" s="5"/>
      <c r="I966" s="5"/>
    </row>
    <row r="967" spans="1:9" x14ac:dyDescent="0.25">
      <c r="A967" s="5"/>
      <c r="D967" s="5"/>
      <c r="I967" s="5"/>
    </row>
    <row r="968" spans="1:9" x14ac:dyDescent="0.25">
      <c r="A968" s="5"/>
      <c r="D968" s="5"/>
      <c r="I968" s="5"/>
    </row>
    <row r="969" spans="1:9" x14ac:dyDescent="0.25">
      <c r="A969" s="5"/>
      <c r="D969" s="5"/>
      <c r="I969" s="5"/>
    </row>
    <row r="970" spans="1:9" x14ac:dyDescent="0.25">
      <c r="A970" s="5"/>
      <c r="D970" s="5"/>
      <c r="I970" s="5"/>
    </row>
    <row r="971" spans="1:9" x14ac:dyDescent="0.25">
      <c r="A971" s="5"/>
      <c r="D971" s="5"/>
      <c r="I971" s="5"/>
    </row>
    <row r="972" spans="1:9" x14ac:dyDescent="0.25">
      <c r="A972" s="5"/>
      <c r="D972" s="5"/>
      <c r="I972" s="5"/>
    </row>
    <row r="973" spans="1:9" x14ac:dyDescent="0.25">
      <c r="A973" s="5"/>
      <c r="D973" s="5"/>
      <c r="I973" s="5"/>
    </row>
    <row r="974" spans="1:9" x14ac:dyDescent="0.25">
      <c r="A974" s="5"/>
      <c r="D974" s="5"/>
      <c r="I974" s="5"/>
    </row>
    <row r="975" spans="1:9" x14ac:dyDescent="0.25">
      <c r="A975" s="5"/>
      <c r="D975" s="5"/>
      <c r="I975" s="5"/>
    </row>
    <row r="976" spans="1:9" x14ac:dyDescent="0.25">
      <c r="A976" s="5"/>
      <c r="D976" s="5"/>
      <c r="I976" s="5"/>
    </row>
    <row r="977" spans="1:9" x14ac:dyDescent="0.25">
      <c r="A977" s="5"/>
      <c r="D977" s="5"/>
      <c r="I977" s="5"/>
    </row>
    <row r="978" spans="1:9" x14ac:dyDescent="0.25">
      <c r="A978" s="5"/>
      <c r="D978" s="5"/>
      <c r="I978" s="5"/>
    </row>
    <row r="979" spans="1:9" x14ac:dyDescent="0.25">
      <c r="A979" s="5"/>
      <c r="D979" s="5"/>
      <c r="I979" s="5"/>
    </row>
    <row r="980" spans="1:9" x14ac:dyDescent="0.25">
      <c r="A980" s="5"/>
      <c r="D980" s="5"/>
      <c r="I980" s="5"/>
    </row>
    <row r="981" spans="1:9" x14ac:dyDescent="0.25">
      <c r="A981" s="5"/>
      <c r="D981" s="5"/>
      <c r="I981" s="5"/>
    </row>
    <row r="982" spans="1:9" x14ac:dyDescent="0.25">
      <c r="A982" s="5"/>
      <c r="D982" s="5"/>
      <c r="I982" s="5"/>
    </row>
    <row r="983" spans="1:9" x14ac:dyDescent="0.25">
      <c r="A983" s="5"/>
      <c r="D983" s="5"/>
      <c r="I983" s="5"/>
    </row>
    <row r="984" spans="1:9" x14ac:dyDescent="0.25">
      <c r="A984" s="5"/>
      <c r="D984" s="5"/>
      <c r="I984" s="5"/>
    </row>
    <row r="985" spans="1:9" x14ac:dyDescent="0.25">
      <c r="A985" s="5"/>
      <c r="D985" s="5"/>
      <c r="I985" s="5"/>
    </row>
    <row r="986" spans="1:9" x14ac:dyDescent="0.25">
      <c r="A986" s="5"/>
      <c r="D986" s="5"/>
      <c r="I986" s="5"/>
    </row>
    <row r="987" spans="1:9" x14ac:dyDescent="0.25">
      <c r="A987" s="5"/>
      <c r="D987" s="5"/>
      <c r="I987" s="5"/>
    </row>
    <row r="988" spans="1:9" x14ac:dyDescent="0.25">
      <c r="A988" s="5"/>
      <c r="D988" s="5"/>
      <c r="I988" s="5"/>
    </row>
    <row r="989" spans="1:9" x14ac:dyDescent="0.25">
      <c r="A989" s="5"/>
      <c r="D989" s="5"/>
      <c r="I989" s="5"/>
    </row>
    <row r="990" spans="1:9" x14ac:dyDescent="0.25">
      <c r="A990" s="5"/>
      <c r="D990" s="5"/>
      <c r="I990" s="5"/>
    </row>
    <row r="991" spans="1:9" x14ac:dyDescent="0.25">
      <c r="A991" s="5"/>
      <c r="D991" s="5"/>
      <c r="I991" s="5"/>
    </row>
    <row r="992" spans="1:9" x14ac:dyDescent="0.25">
      <c r="A992" s="5"/>
      <c r="D992" s="5"/>
      <c r="I992" s="5"/>
    </row>
    <row r="993" spans="1:9" x14ac:dyDescent="0.25">
      <c r="A993" s="5"/>
      <c r="D993" s="5"/>
      <c r="I993" s="5"/>
    </row>
    <row r="994" spans="1:9" x14ac:dyDescent="0.25">
      <c r="A994" s="5"/>
      <c r="D994" s="5"/>
      <c r="I994" s="5"/>
    </row>
    <row r="995" spans="1:9" x14ac:dyDescent="0.25">
      <c r="A995" s="5"/>
      <c r="D995" s="5"/>
      <c r="I995" s="5"/>
    </row>
    <row r="996" spans="1:9" x14ac:dyDescent="0.25">
      <c r="A996" s="5"/>
      <c r="D996" s="5"/>
      <c r="I996" s="5"/>
    </row>
    <row r="997" spans="1:9" x14ac:dyDescent="0.25">
      <c r="A997" s="5"/>
      <c r="D997" s="5"/>
      <c r="I997" s="5"/>
    </row>
  </sheetData>
  <sheetProtection insertRows="0" autoFilter="0"/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14"/>
  <sheetViews>
    <sheetView workbookViewId="0">
      <selection activeCell="B10" sqref="B10"/>
    </sheetView>
  </sheetViews>
  <sheetFormatPr defaultRowHeight="15" x14ac:dyDescent="0.25"/>
  <cols>
    <col min="1" max="5" width="16.7109375" style="2" customWidth="1"/>
    <col min="7" max="7" width="39.5703125" style="2" bestFit="1" customWidth="1"/>
  </cols>
  <sheetData>
    <row r="2" spans="1:7" x14ac:dyDescent="0.25">
      <c r="A2" t="s">
        <v>20</v>
      </c>
      <c r="B2" t="s">
        <v>22</v>
      </c>
      <c r="C2" t="s">
        <v>21</v>
      </c>
      <c r="D2" t="s">
        <v>49</v>
      </c>
      <c r="E2" t="s">
        <v>23</v>
      </c>
      <c r="G2"/>
    </row>
    <row r="3" spans="1:7" x14ac:dyDescent="0.25">
      <c r="A3" t="s">
        <v>11</v>
      </c>
      <c r="B3" t="s">
        <v>50</v>
      </c>
      <c r="C3" s="1">
        <v>111</v>
      </c>
      <c r="D3" t="s">
        <v>1</v>
      </c>
      <c r="E3" t="s">
        <v>30</v>
      </c>
      <c r="G3"/>
    </row>
    <row r="4" spans="1:7" x14ac:dyDescent="0.25">
      <c r="A4" t="s">
        <v>12</v>
      </c>
      <c r="B4" t="s">
        <v>27</v>
      </c>
      <c r="C4">
        <v>112</v>
      </c>
      <c r="D4" t="s">
        <v>2</v>
      </c>
      <c r="E4" t="s">
        <v>31</v>
      </c>
      <c r="G4"/>
    </row>
    <row r="5" spans="1:7" x14ac:dyDescent="0.25">
      <c r="A5" t="s">
        <v>13</v>
      </c>
      <c r="B5" t="s">
        <v>28</v>
      </c>
      <c r="C5">
        <v>113</v>
      </c>
      <c r="D5" t="s">
        <v>4</v>
      </c>
      <c r="E5" t="s">
        <v>32</v>
      </c>
      <c r="G5"/>
    </row>
    <row r="6" spans="1:7" x14ac:dyDescent="0.25">
      <c r="A6" t="s">
        <v>14</v>
      </c>
      <c r="B6" t="s">
        <v>27</v>
      </c>
      <c r="C6" s="1">
        <v>112</v>
      </c>
      <c r="D6" t="s">
        <v>5</v>
      </c>
      <c r="E6" t="s">
        <v>29</v>
      </c>
      <c r="G6"/>
    </row>
    <row r="7" spans="1:7" x14ac:dyDescent="0.25">
      <c r="A7" t="s">
        <v>15</v>
      </c>
      <c r="B7" t="s">
        <v>50</v>
      </c>
      <c r="C7">
        <v>111</v>
      </c>
      <c r="D7" t="s">
        <v>6</v>
      </c>
      <c r="E7" t="s">
        <v>33</v>
      </c>
      <c r="G7"/>
    </row>
    <row r="8" spans="1:7" x14ac:dyDescent="0.25">
      <c r="A8" t="s">
        <v>16</v>
      </c>
      <c r="B8" t="s">
        <v>28</v>
      </c>
      <c r="C8">
        <v>113</v>
      </c>
      <c r="D8" t="s">
        <v>7</v>
      </c>
      <c r="E8" t="s">
        <v>37</v>
      </c>
      <c r="G8"/>
    </row>
    <row r="9" spans="1:7" x14ac:dyDescent="0.25">
      <c r="A9" t="s">
        <v>17</v>
      </c>
      <c r="B9" t="s">
        <v>27</v>
      </c>
      <c r="C9">
        <v>112</v>
      </c>
      <c r="D9" t="s">
        <v>8</v>
      </c>
      <c r="E9" t="s">
        <v>34</v>
      </c>
      <c r="G9"/>
    </row>
    <row r="10" spans="1:7" x14ac:dyDescent="0.25">
      <c r="A10" t="s">
        <v>18</v>
      </c>
      <c r="B10" t="s">
        <v>50</v>
      </c>
      <c r="C10">
        <v>111</v>
      </c>
      <c r="D10" t="s">
        <v>9</v>
      </c>
      <c r="E10" t="s">
        <v>35</v>
      </c>
      <c r="G10"/>
    </row>
    <row r="11" spans="1:7" x14ac:dyDescent="0.25">
      <c r="A11" t="s">
        <v>19</v>
      </c>
      <c r="B11" t="s">
        <v>28</v>
      </c>
      <c r="C11">
        <v>113</v>
      </c>
      <c r="D11" t="s">
        <v>10</v>
      </c>
      <c r="E11" t="s">
        <v>36</v>
      </c>
      <c r="G11"/>
    </row>
    <row r="14" spans="1:7" x14ac:dyDescent="0.25">
      <c r="G14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Production_Machine_1_Data_Entry</vt:lpstr>
      <vt:lpstr>Data_Source</vt:lpstr>
      <vt:lpstr>Lista_Difetti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Cerquone</dc:creator>
  <cp:lastModifiedBy>Stefano Cerquone</cp:lastModifiedBy>
  <dcterms:created xsi:type="dcterms:W3CDTF">2015-06-05T18:19:34Z</dcterms:created>
  <dcterms:modified xsi:type="dcterms:W3CDTF">2026-06-24T21:12:09Z</dcterms:modified>
</cp:coreProperties>
</file>